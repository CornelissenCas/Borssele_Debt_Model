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/>
  <mc:AlternateContent xmlns:mc="http://schemas.openxmlformats.org/markup-compatibility/2006">
    <mc:Choice Requires="x15">
      <x15ac:absPath xmlns:x15ac="http://schemas.microsoft.com/office/spreadsheetml/2010/11/ac" url="/Users/cascornelissen/Downloads/"/>
    </mc:Choice>
  </mc:AlternateContent>
  <xr:revisionPtr revIDLastSave="0" documentId="13_ncr:1_{6812E31A-9153-074F-B710-89599E5907D7}" xr6:coauthVersionLast="47" xr6:coauthVersionMax="47" xr10:uidLastSave="{00000000-0000-0000-0000-000000000000}"/>
  <bookViews>
    <workbookView xWindow="-38400" yWindow="-7680" windowWidth="38400" windowHeight="21600" tabRatio="500" xr2:uid="{00000000-000D-0000-FFFF-FFFF00000000}"/>
  </bookViews>
  <sheets>
    <sheet name="Read Me" sheetId="1" r:id="rId1"/>
    <sheet name="Assumptions" sheetId="2" r:id="rId2"/>
    <sheet name="Debt Sizing" sheetId="3" r:id="rId3"/>
    <sheet name="Cash Flow &amp; Waterfall" sheetId="4" r:id="rId4"/>
    <sheet name="Stress Tests" sheetId="5" r:id="rId5"/>
    <sheet name="Dashboard" sheetId="6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B9" i="4" l="1"/>
  <c r="AB10" i="4" s="1"/>
  <c r="AB17" i="4" s="1"/>
  <c r="AB19" i="4" s="1"/>
  <c r="J46" i="5"/>
  <c r="I46" i="5"/>
  <c r="H46" i="5"/>
  <c r="G46" i="5"/>
  <c r="P45" i="5"/>
  <c r="P46" i="5" s="1"/>
  <c r="O45" i="5"/>
  <c r="O46" i="5" s="1"/>
  <c r="N45" i="5"/>
  <c r="N46" i="5" s="1"/>
  <c r="M45" i="5"/>
  <c r="M46" i="5" s="1"/>
  <c r="L45" i="5"/>
  <c r="L46" i="5" s="1"/>
  <c r="K45" i="5"/>
  <c r="K46" i="5" s="1"/>
  <c r="J45" i="5"/>
  <c r="I45" i="5"/>
  <c r="H45" i="5"/>
  <c r="G45" i="5"/>
  <c r="F45" i="5"/>
  <c r="F46" i="5" s="1"/>
  <c r="E45" i="5"/>
  <c r="E46" i="5" s="1"/>
  <c r="D45" i="5"/>
  <c r="D46" i="5" s="1"/>
  <c r="C45" i="5"/>
  <c r="C46" i="5" s="1"/>
  <c r="B45" i="5"/>
  <c r="B46" i="5" s="1"/>
  <c r="B37" i="5"/>
  <c r="G36" i="5"/>
  <c r="N35" i="5"/>
  <c r="N37" i="5" s="1"/>
  <c r="L35" i="5"/>
  <c r="L37" i="5" s="1"/>
  <c r="B35" i="5"/>
  <c r="P34" i="5"/>
  <c r="O34" i="5"/>
  <c r="O35" i="5" s="1"/>
  <c r="I34" i="5"/>
  <c r="H34" i="5"/>
  <c r="G34" i="5"/>
  <c r="F34" i="5"/>
  <c r="P33" i="5"/>
  <c r="O33" i="5"/>
  <c r="N33" i="5"/>
  <c r="N34" i="5" s="1"/>
  <c r="M33" i="5"/>
  <c r="M34" i="5" s="1"/>
  <c r="M35" i="5" s="1"/>
  <c r="M37" i="5" s="1"/>
  <c r="L33" i="5"/>
  <c r="L34" i="5" s="1"/>
  <c r="K33" i="5"/>
  <c r="K34" i="5" s="1"/>
  <c r="K35" i="5" s="1"/>
  <c r="K37" i="5" s="1"/>
  <c r="J33" i="5"/>
  <c r="J34" i="5" s="1"/>
  <c r="I33" i="5"/>
  <c r="H33" i="5"/>
  <c r="G33" i="5"/>
  <c r="F33" i="5"/>
  <c r="E33" i="5"/>
  <c r="E34" i="5" s="1"/>
  <c r="D33" i="5"/>
  <c r="D34" i="5" s="1"/>
  <c r="D35" i="5" s="1"/>
  <c r="D37" i="5" s="1"/>
  <c r="C33" i="5"/>
  <c r="C34" i="5" s="1"/>
  <c r="C35" i="5" s="1"/>
  <c r="C37" i="5" s="1"/>
  <c r="B33" i="5"/>
  <c r="B34" i="5" s="1"/>
  <c r="P32" i="5"/>
  <c r="O32" i="5"/>
  <c r="O36" i="5" s="1"/>
  <c r="N32" i="5"/>
  <c r="N36" i="5" s="1"/>
  <c r="M32" i="5"/>
  <c r="M36" i="5" s="1"/>
  <c r="L32" i="5"/>
  <c r="L36" i="5" s="1"/>
  <c r="K32" i="5"/>
  <c r="K36" i="5" s="1"/>
  <c r="J32" i="5"/>
  <c r="J36" i="5" s="1"/>
  <c r="I32" i="5"/>
  <c r="I35" i="5" s="1"/>
  <c r="H32" i="5"/>
  <c r="G32" i="5"/>
  <c r="F32" i="5"/>
  <c r="F35" i="5" s="1"/>
  <c r="E32" i="5"/>
  <c r="E35" i="5" s="1"/>
  <c r="D32" i="5"/>
  <c r="D36" i="5" s="1"/>
  <c r="C32" i="5"/>
  <c r="C36" i="5" s="1"/>
  <c r="B32" i="5"/>
  <c r="B36" i="5" s="1"/>
  <c r="P22" i="5"/>
  <c r="H22" i="5"/>
  <c r="G22" i="5"/>
  <c r="F22" i="5"/>
  <c r="D22" i="5"/>
  <c r="P21" i="5"/>
  <c r="O21" i="5"/>
  <c r="O22" i="5" s="1"/>
  <c r="N21" i="5"/>
  <c r="N22" i="5" s="1"/>
  <c r="M21" i="5"/>
  <c r="M22" i="5" s="1"/>
  <c r="L21" i="5"/>
  <c r="L22" i="5" s="1"/>
  <c r="K21" i="5"/>
  <c r="K22" i="5" s="1"/>
  <c r="J21" i="5"/>
  <c r="J22" i="5" s="1"/>
  <c r="I21" i="5"/>
  <c r="I22" i="5" s="1"/>
  <c r="H21" i="5"/>
  <c r="G21" i="5"/>
  <c r="F21" i="5"/>
  <c r="E21" i="5"/>
  <c r="E22" i="5" s="1"/>
  <c r="D21" i="5"/>
  <c r="C21" i="5"/>
  <c r="C22" i="5" s="1"/>
  <c r="B21" i="5"/>
  <c r="B22" i="5" s="1"/>
  <c r="L13" i="5"/>
  <c r="O12" i="5"/>
  <c r="E12" i="5"/>
  <c r="D12" i="5"/>
  <c r="C12" i="5"/>
  <c r="E11" i="5"/>
  <c r="E13" i="5" s="1"/>
  <c r="P10" i="5"/>
  <c r="J10" i="5"/>
  <c r="I10" i="5"/>
  <c r="H10" i="5"/>
  <c r="G10" i="5"/>
  <c r="F10" i="5"/>
  <c r="E10" i="5"/>
  <c r="P9" i="5"/>
  <c r="O9" i="5"/>
  <c r="O10" i="5" s="1"/>
  <c r="N9" i="5"/>
  <c r="N10" i="5" s="1"/>
  <c r="M9" i="5"/>
  <c r="M10" i="5" s="1"/>
  <c r="L9" i="5"/>
  <c r="L10" i="5" s="1"/>
  <c r="L11" i="5" s="1"/>
  <c r="K9" i="5"/>
  <c r="K10" i="5" s="1"/>
  <c r="K11" i="5" s="1"/>
  <c r="K13" i="5" s="1"/>
  <c r="J9" i="5"/>
  <c r="I9" i="5"/>
  <c r="H9" i="5"/>
  <c r="G9" i="5"/>
  <c r="F9" i="5"/>
  <c r="E9" i="5"/>
  <c r="D9" i="5"/>
  <c r="D10" i="5" s="1"/>
  <c r="D11" i="5" s="1"/>
  <c r="D13" i="5" s="1"/>
  <c r="C9" i="5"/>
  <c r="C10" i="5" s="1"/>
  <c r="B9" i="5"/>
  <c r="B10" i="5" s="1"/>
  <c r="B11" i="5" s="1"/>
  <c r="B13" i="5" s="1"/>
  <c r="P8" i="5"/>
  <c r="O8" i="5"/>
  <c r="O11" i="5" s="1"/>
  <c r="N8" i="5"/>
  <c r="N12" i="5" s="1"/>
  <c r="M8" i="5"/>
  <c r="M12" i="5" s="1"/>
  <c r="L8" i="5"/>
  <c r="L12" i="5" s="1"/>
  <c r="K8" i="5"/>
  <c r="K12" i="5" s="1"/>
  <c r="J8" i="5"/>
  <c r="J12" i="5" s="1"/>
  <c r="I8" i="5"/>
  <c r="I12" i="5" s="1"/>
  <c r="H8" i="5"/>
  <c r="H12" i="5" s="1"/>
  <c r="G8" i="5"/>
  <c r="F8" i="5"/>
  <c r="E8" i="5"/>
  <c r="D8" i="5"/>
  <c r="C8" i="5"/>
  <c r="C11" i="5" s="1"/>
  <c r="B8" i="5"/>
  <c r="B12" i="5" s="1"/>
  <c r="AB49" i="4"/>
  <c r="Z48" i="4"/>
  <c r="AB46" i="4"/>
  <c r="AB48" i="4" s="1"/>
  <c r="AA46" i="4"/>
  <c r="AA48" i="4" s="1"/>
  <c r="Z46" i="4"/>
  <c r="Y46" i="4"/>
  <c r="X46" i="4"/>
  <c r="W46" i="4"/>
  <c r="V46" i="4"/>
  <c r="U46" i="4"/>
  <c r="U48" i="4" s="1"/>
  <c r="T46" i="4"/>
  <c r="T48" i="4" s="1"/>
  <c r="S46" i="4"/>
  <c r="AA45" i="4"/>
  <c r="Z45" i="4"/>
  <c r="Y45" i="4"/>
  <c r="X45" i="4"/>
  <c r="W45" i="4"/>
  <c r="V45" i="4"/>
  <c r="U45" i="4"/>
  <c r="T45" i="4"/>
  <c r="S45" i="4"/>
  <c r="R45" i="4"/>
  <c r="AB44" i="4"/>
  <c r="AA44" i="4"/>
  <c r="Z44" i="4"/>
  <c r="Y44" i="4"/>
  <c r="X44" i="4"/>
  <c r="W44" i="4"/>
  <c r="V44" i="4"/>
  <c r="U44" i="4"/>
  <c r="T44" i="4"/>
  <c r="S44" i="4"/>
  <c r="T43" i="4"/>
  <c r="Y42" i="4"/>
  <c r="X42" i="4"/>
  <c r="V42" i="4"/>
  <c r="U42" i="4"/>
  <c r="U43" i="4" s="1"/>
  <c r="AA41" i="4"/>
  <c r="AB42" i="4" s="1"/>
  <c r="AB43" i="4" s="1"/>
  <c r="Z41" i="4"/>
  <c r="AA42" i="4" s="1"/>
  <c r="Y41" i="4"/>
  <c r="Y43" i="4" s="1"/>
  <c r="X41" i="4"/>
  <c r="X43" i="4" s="1"/>
  <c r="W41" i="4"/>
  <c r="V41" i="4"/>
  <c r="U41" i="4"/>
  <c r="T41" i="4"/>
  <c r="S41" i="4"/>
  <c r="T42" i="4" s="1"/>
  <c r="R41" i="4"/>
  <c r="S42" i="4" s="1"/>
  <c r="AA30" i="4"/>
  <c r="Z30" i="4"/>
  <c r="V30" i="4"/>
  <c r="S30" i="4"/>
  <c r="P30" i="4"/>
  <c r="O30" i="4"/>
  <c r="L30" i="4"/>
  <c r="K30" i="4"/>
  <c r="J30" i="4"/>
  <c r="I30" i="4"/>
  <c r="E30" i="4"/>
  <c r="AB22" i="4"/>
  <c r="Z22" i="4"/>
  <c r="L19" i="4"/>
  <c r="AB18" i="4"/>
  <c r="AA18" i="4"/>
  <c r="Z18" i="4"/>
  <c r="Y18" i="4"/>
  <c r="X18" i="4"/>
  <c r="W18" i="4"/>
  <c r="V18" i="4"/>
  <c r="U18" i="4"/>
  <c r="T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V17" i="4"/>
  <c r="V19" i="4" s="1"/>
  <c r="L17" i="4"/>
  <c r="I17" i="4"/>
  <c r="I19" i="4" s="1"/>
  <c r="V14" i="4"/>
  <c r="P14" i="4"/>
  <c r="O14" i="4"/>
  <c r="L14" i="4"/>
  <c r="Q13" i="4"/>
  <c r="P13" i="4"/>
  <c r="O13" i="4"/>
  <c r="N13" i="4"/>
  <c r="G13" i="4"/>
  <c r="F13" i="4"/>
  <c r="F14" i="4" s="1"/>
  <c r="E13" i="4"/>
  <c r="E14" i="4" s="1"/>
  <c r="D13" i="4"/>
  <c r="AB12" i="4"/>
  <c r="AB14" i="4" s="1"/>
  <c r="AA12" i="4"/>
  <c r="AA14" i="4" s="1"/>
  <c r="Z12" i="4"/>
  <c r="Z14" i="4" s="1"/>
  <c r="Y12" i="4"/>
  <c r="Y14" i="4" s="1"/>
  <c r="X12" i="4"/>
  <c r="X14" i="4" s="1"/>
  <c r="W12" i="4"/>
  <c r="W14" i="4" s="1"/>
  <c r="V12" i="4"/>
  <c r="U12" i="4"/>
  <c r="U14" i="4" s="1"/>
  <c r="T12" i="4"/>
  <c r="T14" i="4" s="1"/>
  <c r="T15" i="4" s="1"/>
  <c r="S12" i="4"/>
  <c r="S14" i="4" s="1"/>
  <c r="R12" i="4"/>
  <c r="Q12" i="4"/>
  <c r="Q14" i="4" s="1"/>
  <c r="Q15" i="4" s="1"/>
  <c r="P12" i="4"/>
  <c r="O12" i="4"/>
  <c r="N12" i="4"/>
  <c r="M12" i="4"/>
  <c r="M13" i="4" s="1"/>
  <c r="L12" i="4"/>
  <c r="L13" i="4" s="1"/>
  <c r="K12" i="4"/>
  <c r="J12" i="4"/>
  <c r="J13" i="4" s="1"/>
  <c r="I12" i="4"/>
  <c r="I13" i="4" s="1"/>
  <c r="H12" i="4"/>
  <c r="G12" i="4"/>
  <c r="G14" i="4" s="1"/>
  <c r="G15" i="4" s="1"/>
  <c r="G21" i="4" s="1"/>
  <c r="F12" i="4"/>
  <c r="E12" i="4"/>
  <c r="D12" i="4"/>
  <c r="AA10" i="4"/>
  <c r="AA17" i="4" s="1"/>
  <c r="AA19" i="4" s="1"/>
  <c r="X10" i="4"/>
  <c r="X17" i="4" s="1"/>
  <c r="X19" i="4" s="1"/>
  <c r="W10" i="4"/>
  <c r="U10" i="4"/>
  <c r="U15" i="4" s="1"/>
  <c r="T10" i="4"/>
  <c r="T17" i="4" s="1"/>
  <c r="T19" i="4" s="1"/>
  <c r="Q10" i="4"/>
  <c r="Q17" i="4" s="1"/>
  <c r="N10" i="4"/>
  <c r="N17" i="4" s="1"/>
  <c r="N19" i="4" s="1"/>
  <c r="K10" i="4"/>
  <c r="J10" i="4"/>
  <c r="H10" i="4"/>
  <c r="G10" i="4"/>
  <c r="G17" i="4" s="1"/>
  <c r="G19" i="4" s="1"/>
  <c r="D10" i="4"/>
  <c r="D17" i="4" s="1"/>
  <c r="D19" i="4" s="1"/>
  <c r="AA9" i="4"/>
  <c r="Z9" i="4"/>
  <c r="Z10" i="4" s="1"/>
  <c r="Y9" i="4"/>
  <c r="Y10" i="4" s="1"/>
  <c r="X9" i="4"/>
  <c r="W9" i="4"/>
  <c r="V9" i="4"/>
  <c r="V10" i="4" s="1"/>
  <c r="U9" i="4"/>
  <c r="T9" i="4"/>
  <c r="S9" i="4"/>
  <c r="S10" i="4" s="1"/>
  <c r="R9" i="4"/>
  <c r="R10" i="4" s="1"/>
  <c r="Q9" i="4"/>
  <c r="P9" i="4"/>
  <c r="P10" i="4" s="1"/>
  <c r="O9" i="4"/>
  <c r="O10" i="4" s="1"/>
  <c r="N9" i="4"/>
  <c r="M9" i="4"/>
  <c r="M10" i="4" s="1"/>
  <c r="L9" i="4"/>
  <c r="L10" i="4" s="1"/>
  <c r="L15" i="4" s="1"/>
  <c r="K9" i="4"/>
  <c r="J9" i="4"/>
  <c r="I9" i="4"/>
  <c r="I10" i="4" s="1"/>
  <c r="H9" i="4"/>
  <c r="G9" i="4"/>
  <c r="F9" i="4"/>
  <c r="F10" i="4" s="1"/>
  <c r="E9" i="4"/>
  <c r="E10" i="4" s="1"/>
  <c r="E17" i="4" s="1"/>
  <c r="E19" i="4" s="1"/>
  <c r="D9" i="4"/>
  <c r="AB4" i="4"/>
  <c r="AB30" i="4" s="1"/>
  <c r="AA4" i="4"/>
  <c r="Z4" i="4"/>
  <c r="Y4" i="4"/>
  <c r="Y30" i="4" s="1"/>
  <c r="X4" i="4"/>
  <c r="X30" i="4" s="1"/>
  <c r="W4" i="4"/>
  <c r="W30" i="4" s="1"/>
  <c r="V4" i="4"/>
  <c r="U4" i="4"/>
  <c r="U30" i="4" s="1"/>
  <c r="T4" i="4"/>
  <c r="T30" i="4" s="1"/>
  <c r="S4" i="4"/>
  <c r="R4" i="4"/>
  <c r="R30" i="4" s="1"/>
  <c r="Q4" i="4"/>
  <c r="Q30" i="4" s="1"/>
  <c r="P4" i="4"/>
  <c r="O4" i="4"/>
  <c r="N4" i="4"/>
  <c r="N30" i="4" s="1"/>
  <c r="M4" i="4"/>
  <c r="M30" i="4" s="1"/>
  <c r="L4" i="4"/>
  <c r="K4" i="4"/>
  <c r="J4" i="4"/>
  <c r="I4" i="4"/>
  <c r="H4" i="4"/>
  <c r="H30" i="4" s="1"/>
  <c r="G4" i="4"/>
  <c r="G30" i="4" s="1"/>
  <c r="F4" i="4"/>
  <c r="F30" i="4" s="1"/>
  <c r="E4" i="4"/>
  <c r="D4" i="4"/>
  <c r="D30" i="4" s="1"/>
  <c r="C4" i="4"/>
  <c r="H12" i="3"/>
  <c r="L11" i="3"/>
  <c r="L13" i="3" s="1"/>
  <c r="P10" i="3"/>
  <c r="L10" i="3"/>
  <c r="L12" i="3" s="1"/>
  <c r="H10" i="3"/>
  <c r="H11" i="3" s="1"/>
  <c r="H13" i="3" s="1"/>
  <c r="G10" i="3"/>
  <c r="F10" i="3"/>
  <c r="E10" i="3"/>
  <c r="B6" i="3"/>
  <c r="K10" i="3" s="1"/>
  <c r="K12" i="3" s="1"/>
  <c r="B56" i="2"/>
  <c r="B55" i="2"/>
  <c r="B54" i="2"/>
  <c r="B29" i="2"/>
  <c r="B13" i="2"/>
  <c r="C36" i="4" s="1"/>
  <c r="B10" i="2"/>
  <c r="T21" i="4" l="1"/>
  <c r="O15" i="4"/>
  <c r="O17" i="4"/>
  <c r="O19" i="4" s="1"/>
  <c r="Y15" i="4"/>
  <c r="Y21" i="4" s="1"/>
  <c r="Y17" i="4"/>
  <c r="Y19" i="4" s="1"/>
  <c r="E12" i="3"/>
  <c r="E11" i="3"/>
  <c r="E13" i="3" s="1"/>
  <c r="F17" i="4"/>
  <c r="F19" i="4" s="1"/>
  <c r="F15" i="4"/>
  <c r="F21" i="4" s="1"/>
  <c r="P15" i="4"/>
  <c r="P21" i="4" s="1"/>
  <c r="P17" i="4"/>
  <c r="P19" i="4" s="1"/>
  <c r="Z15" i="4"/>
  <c r="Z17" i="4"/>
  <c r="Z19" i="4" s="1"/>
  <c r="H13" i="4"/>
  <c r="H14" i="4"/>
  <c r="R13" i="4"/>
  <c r="R14" i="4" s="1"/>
  <c r="R15" i="4" s="1"/>
  <c r="R21" i="4" s="1"/>
  <c r="U17" i="4"/>
  <c r="U19" i="4" s="1"/>
  <c r="U21" i="4"/>
  <c r="R17" i="4"/>
  <c r="R19" i="4" s="1"/>
  <c r="W17" i="4"/>
  <c r="W19" i="4" s="1"/>
  <c r="W15" i="4"/>
  <c r="D14" i="5"/>
  <c r="D15" i="5" s="1"/>
  <c r="F11" i="3"/>
  <c r="F12" i="3"/>
  <c r="E15" i="4"/>
  <c r="E21" i="4" s="1"/>
  <c r="E31" i="4" s="1"/>
  <c r="G12" i="3"/>
  <c r="G11" i="3"/>
  <c r="G13" i="3" s="1"/>
  <c r="H15" i="4"/>
  <c r="H14" i="3"/>
  <c r="H15" i="3" s="1"/>
  <c r="H16" i="3" s="1"/>
  <c r="H17" i="3" s="1"/>
  <c r="B56" i="5"/>
  <c r="X22" i="4"/>
  <c r="N22" i="4"/>
  <c r="D22" i="4"/>
  <c r="B7" i="3"/>
  <c r="L14" i="3" s="1"/>
  <c r="L15" i="3" s="1"/>
  <c r="L16" i="3" s="1"/>
  <c r="L17" i="3" s="1"/>
  <c r="W22" i="4"/>
  <c r="M22" i="4"/>
  <c r="AA22" i="4"/>
  <c r="Q22" i="4"/>
  <c r="G22" i="4"/>
  <c r="Y22" i="4"/>
  <c r="J22" i="4"/>
  <c r="B21" i="3"/>
  <c r="V22" i="4"/>
  <c r="I22" i="4"/>
  <c r="F22" i="4"/>
  <c r="U22" i="4"/>
  <c r="H22" i="4"/>
  <c r="T22" i="4"/>
  <c r="S22" i="4"/>
  <c r="E22" i="4"/>
  <c r="R22" i="4"/>
  <c r="P22" i="4"/>
  <c r="O22" i="4"/>
  <c r="X25" i="4"/>
  <c r="W25" i="4"/>
  <c r="AA25" i="4"/>
  <c r="AB25" i="4"/>
  <c r="Z25" i="4"/>
  <c r="Y25" i="4"/>
  <c r="V25" i="4"/>
  <c r="U25" i="4"/>
  <c r="T25" i="4"/>
  <c r="S25" i="4"/>
  <c r="P11" i="3"/>
  <c r="P12" i="3"/>
  <c r="J17" i="4"/>
  <c r="J19" i="4" s="1"/>
  <c r="K22" i="4"/>
  <c r="N44" i="5"/>
  <c r="D44" i="5"/>
  <c r="L20" i="5"/>
  <c r="B20" i="5"/>
  <c r="M44" i="5"/>
  <c r="C44" i="5"/>
  <c r="K20" i="5"/>
  <c r="L44" i="5"/>
  <c r="B44" i="5"/>
  <c r="K44" i="5"/>
  <c r="O44" i="5"/>
  <c r="E44" i="5"/>
  <c r="M20" i="5"/>
  <c r="C20" i="5"/>
  <c r="F44" i="5"/>
  <c r="J20" i="5"/>
  <c r="I20" i="5"/>
  <c r="H20" i="5"/>
  <c r="G20" i="5"/>
  <c r="F20" i="5"/>
  <c r="P44" i="5"/>
  <c r="E20" i="5"/>
  <c r="J44" i="5"/>
  <c r="D20" i="5"/>
  <c r="I44" i="5"/>
  <c r="P20" i="5"/>
  <c r="H44" i="5"/>
  <c r="O20" i="5"/>
  <c r="G44" i="5"/>
  <c r="N20" i="5"/>
  <c r="AB31" i="4"/>
  <c r="M17" i="4"/>
  <c r="M19" i="4" s="1"/>
  <c r="M15" i="4"/>
  <c r="H17" i="4"/>
  <c r="H19" i="4" s="1"/>
  <c r="L22" i="4"/>
  <c r="K38" i="5"/>
  <c r="K39" i="5" s="1"/>
  <c r="O37" i="5"/>
  <c r="C13" i="5"/>
  <c r="K17" i="4"/>
  <c r="K19" i="4" s="1"/>
  <c r="H35" i="5"/>
  <c r="H36" i="5"/>
  <c r="C38" i="5"/>
  <c r="C39" i="5" s="1"/>
  <c r="M38" i="5"/>
  <c r="M39" i="5"/>
  <c r="I10" i="3"/>
  <c r="X15" i="4"/>
  <c r="X21" i="4" s="1"/>
  <c r="O13" i="5"/>
  <c r="L14" i="5"/>
  <c r="L15" i="5"/>
  <c r="D38" i="5"/>
  <c r="L38" i="5"/>
  <c r="L39" i="5" s="1"/>
  <c r="J10" i="3"/>
  <c r="Z42" i="4"/>
  <c r="Z43" i="4" s="1"/>
  <c r="F11" i="5"/>
  <c r="F12" i="5"/>
  <c r="P11" i="5"/>
  <c r="P12" i="5"/>
  <c r="K14" i="5"/>
  <c r="K15" i="5"/>
  <c r="N38" i="5"/>
  <c r="N39" i="5"/>
  <c r="G11" i="5"/>
  <c r="G12" i="5"/>
  <c r="B14" i="5"/>
  <c r="B15" i="5"/>
  <c r="AB15" i="4"/>
  <c r="AB21" i="4" s="1"/>
  <c r="B10" i="3"/>
  <c r="M10" i="3"/>
  <c r="Q19" i="4"/>
  <c r="Q21" i="4" s="1"/>
  <c r="D14" i="4"/>
  <c r="D15" i="4" s="1"/>
  <c r="D21" i="4" s="1"/>
  <c r="N14" i="4"/>
  <c r="N15" i="4" s="1"/>
  <c r="N21" i="4" s="1"/>
  <c r="K13" i="4"/>
  <c r="K14" i="4" s="1"/>
  <c r="K15" i="4" s="1"/>
  <c r="K21" i="4" s="1"/>
  <c r="J14" i="4"/>
  <c r="J15" i="4" s="1"/>
  <c r="J21" i="4" s="1"/>
  <c r="AA15" i="4"/>
  <c r="AA21" i="4" s="1"/>
  <c r="AA31" i="4" s="1"/>
  <c r="AA43" i="4"/>
  <c r="B38" i="5"/>
  <c r="B39" i="5" s="1"/>
  <c r="S15" i="4"/>
  <c r="C10" i="3"/>
  <c r="N10" i="3"/>
  <c r="S17" i="4"/>
  <c r="S19" i="4" s="1"/>
  <c r="X31" i="4"/>
  <c r="M14" i="4"/>
  <c r="I14" i="4"/>
  <c r="I15" i="4" s="1"/>
  <c r="I21" i="4" s="1"/>
  <c r="S48" i="4"/>
  <c r="D10" i="3"/>
  <c r="O10" i="3"/>
  <c r="K11" i="3"/>
  <c r="K13" i="3" s="1"/>
  <c r="G31" i="4"/>
  <c r="L21" i="4"/>
  <c r="L31" i="4" s="1"/>
  <c r="V15" i="4"/>
  <c r="V21" i="4" s="1"/>
  <c r="V31" i="4"/>
  <c r="V43" i="4"/>
  <c r="W42" i="4"/>
  <c r="W43" i="4" s="1"/>
  <c r="V48" i="4"/>
  <c r="E14" i="5"/>
  <c r="E15" i="5" s="1"/>
  <c r="D39" i="5"/>
  <c r="I37" i="5"/>
  <c r="H11" i="5"/>
  <c r="H13" i="5" s="1"/>
  <c r="E36" i="5"/>
  <c r="E37" i="5" s="1"/>
  <c r="I11" i="5"/>
  <c r="I13" i="5" s="1"/>
  <c r="F36" i="5"/>
  <c r="F37" i="5" s="1"/>
  <c r="J11" i="5"/>
  <c r="J13" i="5" s="1"/>
  <c r="J35" i="5"/>
  <c r="J37" i="5" s="1"/>
  <c r="I36" i="5"/>
  <c r="W48" i="4"/>
  <c r="M11" i="5"/>
  <c r="M13" i="5" s="1"/>
  <c r="X48" i="4"/>
  <c r="N11" i="5"/>
  <c r="N13" i="5" s="1"/>
  <c r="P35" i="5"/>
  <c r="S43" i="4"/>
  <c r="Y48" i="4"/>
  <c r="G35" i="5"/>
  <c r="G37" i="5" s="1"/>
  <c r="P36" i="5"/>
  <c r="I31" i="4" l="1"/>
  <c r="E38" i="5"/>
  <c r="E39" i="5" s="1"/>
  <c r="R31" i="4"/>
  <c r="K31" i="4"/>
  <c r="F38" i="5"/>
  <c r="F39" i="5" s="1"/>
  <c r="N31" i="4"/>
  <c r="Q31" i="4"/>
  <c r="J31" i="4"/>
  <c r="N23" i="5"/>
  <c r="N24" i="5"/>
  <c r="V32" i="4"/>
  <c r="V27" i="4"/>
  <c r="V28" i="4" s="1"/>
  <c r="Y31" i="4"/>
  <c r="F23" i="5"/>
  <c r="F24" i="5"/>
  <c r="M14" i="5"/>
  <c r="M15" i="5" s="1"/>
  <c r="F13" i="5"/>
  <c r="G47" i="5"/>
  <c r="G49" i="5" s="1"/>
  <c r="G48" i="5"/>
  <c r="G23" i="5"/>
  <c r="G24" i="5"/>
  <c r="B48" i="5"/>
  <c r="B47" i="5"/>
  <c r="B49" i="5" s="1"/>
  <c r="Y32" i="4"/>
  <c r="Y33" i="4" s="1"/>
  <c r="Y34" i="4" s="1"/>
  <c r="Y27" i="4"/>
  <c r="Y28" i="4" s="1"/>
  <c r="Z21" i="4"/>
  <c r="I11" i="3"/>
  <c r="I12" i="3"/>
  <c r="C14" i="5"/>
  <c r="C15" i="5" s="1"/>
  <c r="O23" i="5"/>
  <c r="O24" i="5"/>
  <c r="H23" i="5"/>
  <c r="H24" i="5"/>
  <c r="L48" i="5"/>
  <c r="L47" i="5"/>
  <c r="L49" i="5" s="1"/>
  <c r="Z27" i="4"/>
  <c r="Z28" i="4" s="1"/>
  <c r="O21" i="4"/>
  <c r="K14" i="3"/>
  <c r="K15" i="3" s="1"/>
  <c r="K16" i="3" s="1"/>
  <c r="K17" i="3" s="1"/>
  <c r="C12" i="3"/>
  <c r="C11" i="3"/>
  <c r="C13" i="3" s="1"/>
  <c r="D31" i="4"/>
  <c r="G13" i="5"/>
  <c r="M21" i="4"/>
  <c r="H47" i="5"/>
  <c r="H48" i="5"/>
  <c r="I24" i="5"/>
  <c r="I23" i="5"/>
  <c r="K24" i="5"/>
  <c r="K23" i="5"/>
  <c r="AB32" i="4"/>
  <c r="AB33" i="4" s="1"/>
  <c r="AB34" i="4" s="1"/>
  <c r="AB50" i="4" s="1"/>
  <c r="AB27" i="4"/>
  <c r="AB28" i="4" s="1"/>
  <c r="O12" i="3"/>
  <c r="O11" i="3"/>
  <c r="O13" i="3" s="1"/>
  <c r="S21" i="4"/>
  <c r="J11" i="3"/>
  <c r="J13" i="3" s="1"/>
  <c r="J12" i="3"/>
  <c r="O39" i="5"/>
  <c r="O38" i="5"/>
  <c r="P23" i="5"/>
  <c r="P25" i="5" s="1"/>
  <c r="P24" i="5"/>
  <c r="J24" i="5"/>
  <c r="J23" i="5"/>
  <c r="J25" i="5" s="1"/>
  <c r="C48" i="5"/>
  <c r="C47" i="5"/>
  <c r="AA27" i="4"/>
  <c r="AA28" i="4" s="1"/>
  <c r="AA32" i="4"/>
  <c r="P31" i="4"/>
  <c r="J38" i="5"/>
  <c r="J39" i="5"/>
  <c r="J14" i="5"/>
  <c r="J15" i="5" s="1"/>
  <c r="D12" i="3"/>
  <c r="D11" i="3"/>
  <c r="D13" i="3" s="1"/>
  <c r="M12" i="3"/>
  <c r="M11" i="3"/>
  <c r="I47" i="5"/>
  <c r="I48" i="5"/>
  <c r="F47" i="5"/>
  <c r="F48" i="5"/>
  <c r="M48" i="5"/>
  <c r="M47" i="5"/>
  <c r="M49" i="5" s="1"/>
  <c r="P13" i="3"/>
  <c r="W27" i="4"/>
  <c r="W28" i="4" s="1"/>
  <c r="H21" i="4"/>
  <c r="F13" i="3"/>
  <c r="F31" i="4"/>
  <c r="U31" i="4"/>
  <c r="I38" i="5"/>
  <c r="I39" i="5" s="1"/>
  <c r="B12" i="3"/>
  <c r="B11" i="3"/>
  <c r="B13" i="3" s="1"/>
  <c r="D24" i="5"/>
  <c r="D23" i="5"/>
  <c r="D25" i="5" s="1"/>
  <c r="C24" i="5"/>
  <c r="C23" i="5"/>
  <c r="C25" i="5" s="1"/>
  <c r="S27" i="4"/>
  <c r="S28" i="4" s="1"/>
  <c r="P37" i="5"/>
  <c r="J47" i="5"/>
  <c r="J48" i="5"/>
  <c r="M24" i="5"/>
  <c r="M23" i="5"/>
  <c r="L24" i="5"/>
  <c r="L23" i="5"/>
  <c r="L25" i="5" s="1"/>
  <c r="T27" i="4"/>
  <c r="T28" i="4" s="1"/>
  <c r="E14" i="3"/>
  <c r="E15" i="3" s="1"/>
  <c r="E16" i="3"/>
  <c r="E17" i="3" s="1"/>
  <c r="T31" i="4"/>
  <c r="T32" i="4" s="1"/>
  <c r="T33" i="4" s="1"/>
  <c r="T34" i="4" s="1"/>
  <c r="K48" i="5"/>
  <c r="K47" i="5"/>
  <c r="K49" i="5" s="1"/>
  <c r="G38" i="5"/>
  <c r="G39" i="5" s="1"/>
  <c r="N12" i="3"/>
  <c r="N11" i="3"/>
  <c r="N13" i="3" s="1"/>
  <c r="B24" i="5"/>
  <c r="B23" i="5"/>
  <c r="B25" i="5" s="1"/>
  <c r="X27" i="4"/>
  <c r="X28" i="4" s="1"/>
  <c r="X32" i="4"/>
  <c r="X33" i="4" s="1"/>
  <c r="X34" i="4" s="1"/>
  <c r="I15" i="5"/>
  <c r="I14" i="5"/>
  <c r="E23" i="5"/>
  <c r="E24" i="5"/>
  <c r="E48" i="5"/>
  <c r="E47" i="5"/>
  <c r="E49" i="5" s="1"/>
  <c r="D48" i="5"/>
  <c r="D47" i="5"/>
  <c r="D49" i="5" s="1"/>
  <c r="G14" i="3"/>
  <c r="G15" i="3" s="1"/>
  <c r="G16" i="3"/>
  <c r="G17" i="3" s="1"/>
  <c r="O14" i="5"/>
  <c r="O15" i="5" s="1"/>
  <c r="AA33" i="4"/>
  <c r="AA34" i="4" s="1"/>
  <c r="AA50" i="4"/>
  <c r="AA39" i="4"/>
  <c r="AA40" i="4" s="1"/>
  <c r="AA47" i="4" s="1"/>
  <c r="H37" i="5"/>
  <c r="N14" i="5"/>
  <c r="N15" i="5" s="1"/>
  <c r="H14" i="5"/>
  <c r="H15" i="5"/>
  <c r="V50" i="4"/>
  <c r="V33" i="4"/>
  <c r="V34" i="4" s="1"/>
  <c r="V39" i="4" s="1"/>
  <c r="V40" i="4" s="1"/>
  <c r="V47" i="4" s="1"/>
  <c r="P13" i="5"/>
  <c r="P47" i="5"/>
  <c r="P49" i="5" s="1"/>
  <c r="P48" i="5"/>
  <c r="O48" i="5"/>
  <c r="O47" i="5"/>
  <c r="O49" i="5" s="1"/>
  <c r="N48" i="5"/>
  <c r="N47" i="5"/>
  <c r="N49" i="5" s="1"/>
  <c r="U32" i="4"/>
  <c r="U33" i="4" s="1"/>
  <c r="U34" i="4" s="1"/>
  <c r="U27" i="4"/>
  <c r="U28" i="4" s="1"/>
  <c r="W21" i="4"/>
  <c r="T39" i="4" l="1"/>
  <c r="T40" i="4" s="1"/>
  <c r="T47" i="4" s="1"/>
  <c r="T50" i="4"/>
  <c r="X39" i="4"/>
  <c r="X40" i="4" s="1"/>
  <c r="X47" i="4" s="1"/>
  <c r="X50" i="4"/>
  <c r="Y39" i="4"/>
  <c r="Y40" i="4" s="1"/>
  <c r="Y47" i="4" s="1"/>
  <c r="Y50" i="4"/>
  <c r="U39" i="4"/>
  <c r="U40" i="4" s="1"/>
  <c r="U47" i="4" s="1"/>
  <c r="U50" i="4"/>
  <c r="P27" i="5"/>
  <c r="P26" i="5"/>
  <c r="G50" i="5"/>
  <c r="G51" i="5" s="1"/>
  <c r="L26" i="5"/>
  <c r="L27" i="5"/>
  <c r="F14" i="3"/>
  <c r="F15" i="3" s="1"/>
  <c r="F16" i="3" s="1"/>
  <c r="F17" i="3" s="1"/>
  <c r="I49" i="5"/>
  <c r="G15" i="5"/>
  <c r="G14" i="5"/>
  <c r="I13" i="3"/>
  <c r="D26" i="5"/>
  <c r="D27" i="5" s="1"/>
  <c r="H31" i="4"/>
  <c r="M13" i="3"/>
  <c r="L50" i="5"/>
  <c r="L51" i="5" s="1"/>
  <c r="Z39" i="4"/>
  <c r="Z40" i="4" s="1"/>
  <c r="Z47" i="4" s="1"/>
  <c r="Z33" i="4"/>
  <c r="Z34" i="4" s="1"/>
  <c r="Z50" i="4" s="1"/>
  <c r="Z31" i="4"/>
  <c r="Z32" i="4" s="1"/>
  <c r="N50" i="5"/>
  <c r="N51" i="5"/>
  <c r="E25" i="5"/>
  <c r="M25" i="5"/>
  <c r="K25" i="5"/>
  <c r="F15" i="5"/>
  <c r="F14" i="5"/>
  <c r="D14" i="3"/>
  <c r="D15" i="3" s="1"/>
  <c r="D16" i="3"/>
  <c r="D17" i="3" s="1"/>
  <c r="I25" i="5"/>
  <c r="C16" i="3"/>
  <c r="C17" i="3" s="1"/>
  <c r="C14" i="3"/>
  <c r="C15" i="3" s="1"/>
  <c r="H25" i="5"/>
  <c r="B50" i="5"/>
  <c r="B51" i="5" s="1"/>
  <c r="C26" i="5"/>
  <c r="C27" i="5" s="1"/>
  <c r="J14" i="3"/>
  <c r="J15" i="3" s="1"/>
  <c r="J16" i="3"/>
  <c r="J17" i="3" s="1"/>
  <c r="J49" i="5"/>
  <c r="M50" i="5"/>
  <c r="M51" i="5" s="1"/>
  <c r="E50" i="5"/>
  <c r="E51" i="5"/>
  <c r="N16" i="3"/>
  <c r="N17" i="3" s="1"/>
  <c r="N14" i="3"/>
  <c r="N15" i="3" s="1"/>
  <c r="S31" i="4"/>
  <c r="S32" i="4" s="1"/>
  <c r="S33" i="4" s="1"/>
  <c r="S34" i="4" s="1"/>
  <c r="O25" i="5"/>
  <c r="N25" i="5"/>
  <c r="P14" i="3"/>
  <c r="P15" i="3" s="1"/>
  <c r="P16" i="3"/>
  <c r="P17" i="3" s="1"/>
  <c r="P51" i="5"/>
  <c r="P50" i="5"/>
  <c r="P38" i="5"/>
  <c r="P39" i="5" s="1"/>
  <c r="J26" i="5"/>
  <c r="J27" i="5" s="1"/>
  <c r="O14" i="3"/>
  <c r="O15" i="3" s="1"/>
  <c r="O16" i="3"/>
  <c r="O17" i="3" s="1"/>
  <c r="P15" i="5"/>
  <c r="P14" i="5"/>
  <c r="AB39" i="4"/>
  <c r="AB40" i="4" s="1"/>
  <c r="AB47" i="4" s="1"/>
  <c r="D50" i="5"/>
  <c r="D51" i="5"/>
  <c r="B26" i="5"/>
  <c r="B27" i="5"/>
  <c r="H49" i="5"/>
  <c r="G25" i="5"/>
  <c r="O50" i="5"/>
  <c r="O51" i="5" s="1"/>
  <c r="K50" i="5"/>
  <c r="K51" i="5"/>
  <c r="B14" i="3"/>
  <c r="B15" i="3" s="1"/>
  <c r="B16" i="3" s="1"/>
  <c r="C49" i="5"/>
  <c r="H38" i="5"/>
  <c r="H39" i="5" s="1"/>
  <c r="W31" i="4"/>
  <c r="W32" i="4" s="1"/>
  <c r="W33" i="4" s="1"/>
  <c r="W34" i="4" s="1"/>
  <c r="F49" i="5"/>
  <c r="M31" i="4"/>
  <c r="O31" i="4"/>
  <c r="F25" i="5"/>
  <c r="W39" i="4" l="1"/>
  <c r="W40" i="4" s="1"/>
  <c r="W47" i="4" s="1"/>
  <c r="W50" i="4"/>
  <c r="S39" i="4"/>
  <c r="S40" i="4" s="1"/>
  <c r="S47" i="4" s="1"/>
  <c r="S50" i="4"/>
  <c r="B17" i="3"/>
  <c r="O26" i="5"/>
  <c r="O27" i="5" s="1"/>
  <c r="F26" i="5"/>
  <c r="F27" i="5" s="1"/>
  <c r="I14" i="3"/>
  <c r="I15" i="3" s="1"/>
  <c r="I16" i="3"/>
  <c r="I17" i="3" s="1"/>
  <c r="K26" i="5"/>
  <c r="K27" i="5"/>
  <c r="G26" i="5"/>
  <c r="G27" i="5" s="1"/>
  <c r="M26" i="5"/>
  <c r="M27" i="5"/>
  <c r="H51" i="5"/>
  <c r="H50" i="5"/>
  <c r="H27" i="5"/>
  <c r="H26" i="5"/>
  <c r="E26" i="5"/>
  <c r="E27" i="5" s="1"/>
  <c r="I50" i="5"/>
  <c r="I51" i="5" s="1"/>
  <c r="N26" i="5"/>
  <c r="N27" i="5" s="1"/>
  <c r="M16" i="3"/>
  <c r="M17" i="3" s="1"/>
  <c r="M14" i="3"/>
  <c r="M15" i="3" s="1"/>
  <c r="C50" i="5"/>
  <c r="C51" i="5" s="1"/>
  <c r="J50" i="5"/>
  <c r="J51" i="5" s="1"/>
  <c r="I26" i="5"/>
  <c r="I27" i="5" s="1"/>
  <c r="F50" i="5"/>
  <c r="F51" i="5" s="1"/>
  <c r="B22" i="3" l="1"/>
  <c r="B20" i="3"/>
  <c r="B23" i="3" s="1"/>
  <c r="B8" i="6" l="1"/>
  <c r="B6" i="6"/>
  <c r="B31" i="3"/>
  <c r="B10" i="6" s="1"/>
  <c r="B24" i="3"/>
  <c r="C37" i="4"/>
  <c r="D24" i="4"/>
  <c r="B26" i="3"/>
  <c r="B7" i="6" s="1"/>
  <c r="D25" i="4" l="1"/>
  <c r="D32" i="4" s="1"/>
  <c r="D33" i="4" s="1"/>
  <c r="D34" i="4" s="1"/>
  <c r="D39" i="4" s="1"/>
  <c r="B25" i="3"/>
  <c r="B9" i="6" s="1"/>
  <c r="H29" i="3"/>
  <c r="J26" i="4" s="1"/>
  <c r="L29" i="3"/>
  <c r="N26" i="4" s="1"/>
  <c r="K29" i="3"/>
  <c r="M26" i="4" s="1"/>
  <c r="E29" i="3"/>
  <c r="G26" i="4" s="1"/>
  <c r="G29" i="3"/>
  <c r="I26" i="4" s="1"/>
  <c r="P29" i="3"/>
  <c r="R26" i="4" s="1"/>
  <c r="C29" i="3"/>
  <c r="E26" i="4" s="1"/>
  <c r="D29" i="3"/>
  <c r="F26" i="4" s="1"/>
  <c r="O29" i="3"/>
  <c r="Q26" i="4" s="1"/>
  <c r="J29" i="3"/>
  <c r="L26" i="4" s="1"/>
  <c r="F29" i="3"/>
  <c r="H26" i="4" s="1"/>
  <c r="N29" i="3"/>
  <c r="P26" i="4" s="1"/>
  <c r="M29" i="3"/>
  <c r="O26" i="4" s="1"/>
  <c r="I29" i="3"/>
  <c r="K26" i="4" s="1"/>
  <c r="B29" i="3"/>
  <c r="E5" i="5" l="1"/>
  <c r="F41" i="4"/>
  <c r="N41" i="4"/>
  <c r="M5" i="5"/>
  <c r="C41" i="4"/>
  <c r="C38" i="4" s="1"/>
  <c r="C50" i="4" s="1"/>
  <c r="D26" i="4"/>
  <c r="G5" i="5"/>
  <c r="H41" i="4"/>
  <c r="I5" i="5"/>
  <c r="J41" i="4"/>
  <c r="N5" i="5"/>
  <c r="O41" i="4"/>
  <c r="K5" i="5"/>
  <c r="L41" i="4"/>
  <c r="H5" i="5"/>
  <c r="I41" i="4"/>
  <c r="M41" i="4"/>
  <c r="L5" i="5"/>
  <c r="K41" i="4"/>
  <c r="J5" i="5"/>
  <c r="O5" i="5"/>
  <c r="P41" i="4"/>
  <c r="D41" i="4"/>
  <c r="C5" i="5"/>
  <c r="F5" i="5"/>
  <c r="G41" i="4"/>
  <c r="D5" i="5"/>
  <c r="E41" i="4"/>
  <c r="P5" i="5"/>
  <c r="Q41" i="4"/>
  <c r="D40" i="4"/>
  <c r="M40" i="5" l="1"/>
  <c r="M16" i="5"/>
  <c r="M52" i="5"/>
  <c r="M28" i="5"/>
  <c r="F42" i="4"/>
  <c r="F43" i="4" s="1"/>
  <c r="F40" i="5"/>
  <c r="F16" i="5"/>
  <c r="F52" i="5"/>
  <c r="F28" i="5"/>
  <c r="O16" i="5"/>
  <c r="O40" i="5"/>
  <c r="O52" i="5"/>
  <c r="O28" i="5"/>
  <c r="L16" i="5"/>
  <c r="L40" i="5"/>
  <c r="L28" i="5"/>
  <c r="L52" i="5"/>
  <c r="N40" i="5"/>
  <c r="N16" i="5"/>
  <c r="N52" i="5"/>
  <c r="N28" i="5"/>
  <c r="H42" i="4"/>
  <c r="H43" i="4" s="1"/>
  <c r="M42" i="4"/>
  <c r="N43" i="4"/>
  <c r="O42" i="4"/>
  <c r="O43" i="4" s="1"/>
  <c r="K16" i="5"/>
  <c r="K40" i="5"/>
  <c r="K52" i="5"/>
  <c r="K28" i="5"/>
  <c r="K42" i="4"/>
  <c r="N42" i="4"/>
  <c r="M43" i="4"/>
  <c r="E42" i="4"/>
  <c r="E43" i="4" s="1"/>
  <c r="D42" i="4"/>
  <c r="D43" i="4" s="1"/>
  <c r="D27" i="4"/>
  <c r="D28" i="4" s="1"/>
  <c r="E24" i="4" s="1"/>
  <c r="D44" i="4"/>
  <c r="B5" i="5"/>
  <c r="Q42" i="4"/>
  <c r="Q43" i="4" s="1"/>
  <c r="K43" i="4"/>
  <c r="L42" i="4"/>
  <c r="L43" i="4" s="1"/>
  <c r="J42" i="4"/>
  <c r="J43" i="4" s="1"/>
  <c r="I40" i="5"/>
  <c r="I16" i="5"/>
  <c r="I52" i="5"/>
  <c r="I28" i="5"/>
  <c r="G42" i="4"/>
  <c r="G43" i="4" s="1"/>
  <c r="D40" i="5"/>
  <c r="D16" i="5"/>
  <c r="D28" i="5"/>
  <c r="D52" i="5"/>
  <c r="I42" i="4"/>
  <c r="I43" i="4" s="1"/>
  <c r="C40" i="5"/>
  <c r="C16" i="5"/>
  <c r="C28" i="5"/>
  <c r="C52" i="5"/>
  <c r="G40" i="5"/>
  <c r="G52" i="5"/>
  <c r="G16" i="5"/>
  <c r="G28" i="5"/>
  <c r="R42" i="4"/>
  <c r="R43" i="4" s="1"/>
  <c r="J16" i="5"/>
  <c r="J40" i="5"/>
  <c r="J28" i="5"/>
  <c r="J52" i="5"/>
  <c r="P16" i="5"/>
  <c r="P40" i="5"/>
  <c r="P52" i="5"/>
  <c r="P28" i="5"/>
  <c r="H16" i="5"/>
  <c r="H40" i="5"/>
  <c r="H52" i="5"/>
  <c r="H28" i="5"/>
  <c r="P42" i="4"/>
  <c r="P43" i="4" s="1"/>
  <c r="E16" i="5"/>
  <c r="E40" i="5"/>
  <c r="E52" i="5"/>
  <c r="E28" i="5"/>
  <c r="E25" i="4" l="1"/>
  <c r="B16" i="5"/>
  <c r="B40" i="5"/>
  <c r="B52" i="5"/>
  <c r="B28" i="5"/>
  <c r="H29" i="5" l="1"/>
  <c r="F29" i="5"/>
  <c r="D29" i="5"/>
  <c r="B29" i="5"/>
  <c r="H53" i="5"/>
  <c r="F53" i="5"/>
  <c r="D53" i="5"/>
  <c r="B53" i="5"/>
  <c r="H41" i="5"/>
  <c r="F41" i="5"/>
  <c r="D41" i="5"/>
  <c r="B41" i="5"/>
  <c r="H17" i="5"/>
  <c r="F17" i="5"/>
  <c r="D17" i="5"/>
  <c r="B17" i="5"/>
  <c r="E32" i="4"/>
  <c r="E33" i="4" s="1"/>
  <c r="E34" i="4" s="1"/>
  <c r="E39" i="4" s="1"/>
  <c r="E27" i="4"/>
  <c r="E28" i="4" s="1"/>
  <c r="F24" i="4" s="1"/>
  <c r="C16" i="6" l="1"/>
  <c r="B16" i="6"/>
  <c r="F25" i="4"/>
  <c r="C17" i="6"/>
  <c r="B17" i="6"/>
  <c r="C15" i="6"/>
  <c r="B15" i="6"/>
  <c r="E40" i="4"/>
  <c r="E44" i="4"/>
  <c r="D45" i="4"/>
  <c r="D46" i="4" s="1"/>
  <c r="C14" i="6"/>
  <c r="B14" i="6"/>
  <c r="F32" i="4" l="1"/>
  <c r="F33" i="4" s="1"/>
  <c r="F34" i="4" s="1"/>
  <c r="F39" i="4" s="1"/>
  <c r="F27" i="4"/>
  <c r="F28" i="4" s="1"/>
  <c r="G24" i="4" s="1"/>
  <c r="D48" i="4"/>
  <c r="D47" i="4"/>
  <c r="D50" i="4" s="1"/>
  <c r="G25" i="4" l="1"/>
  <c r="F40" i="4"/>
  <c r="E45" i="4"/>
  <c r="E46" i="4" s="1"/>
  <c r="F44" i="4"/>
  <c r="E47" i="4" l="1"/>
  <c r="E50" i="4" s="1"/>
  <c r="E48" i="4"/>
  <c r="G32" i="4"/>
  <c r="G33" i="4" s="1"/>
  <c r="G34" i="4" s="1"/>
  <c r="G39" i="4" s="1"/>
  <c r="G27" i="4"/>
  <c r="G28" i="4" s="1"/>
  <c r="H24" i="4" s="1"/>
  <c r="G40" i="4" l="1"/>
  <c r="F45" i="4"/>
  <c r="F46" i="4" s="1"/>
  <c r="G44" i="4"/>
  <c r="H25" i="4"/>
  <c r="H32" i="4" l="1"/>
  <c r="H33" i="4" s="1"/>
  <c r="H34" i="4" s="1"/>
  <c r="H39" i="4" s="1"/>
  <c r="H27" i="4"/>
  <c r="H28" i="4" s="1"/>
  <c r="I24" i="4" s="1"/>
  <c r="F47" i="4"/>
  <c r="F50" i="4" s="1"/>
  <c r="F48" i="4"/>
  <c r="I25" i="4" l="1"/>
  <c r="H40" i="4"/>
  <c r="G45" i="4"/>
  <c r="G46" i="4" s="1"/>
  <c r="H44" i="4"/>
  <c r="G48" i="4" l="1"/>
  <c r="G47" i="4"/>
  <c r="G50" i="4" s="1"/>
  <c r="I32" i="4"/>
  <c r="I33" i="4" s="1"/>
  <c r="I34" i="4" s="1"/>
  <c r="I39" i="4" s="1"/>
  <c r="I27" i="4"/>
  <c r="I28" i="4" s="1"/>
  <c r="J24" i="4" s="1"/>
  <c r="I40" i="4" l="1"/>
  <c r="I44" i="4"/>
  <c r="H45" i="4"/>
  <c r="H46" i="4" s="1"/>
  <c r="J25" i="4"/>
  <c r="J32" i="4" l="1"/>
  <c r="J33" i="4" s="1"/>
  <c r="J34" i="4" s="1"/>
  <c r="J39" i="4" s="1"/>
  <c r="J27" i="4"/>
  <c r="J28" i="4" s="1"/>
  <c r="K24" i="4" s="1"/>
  <c r="H47" i="4"/>
  <c r="H50" i="4" s="1"/>
  <c r="H48" i="4"/>
  <c r="K25" i="4" l="1"/>
  <c r="J40" i="4"/>
  <c r="I45" i="4"/>
  <c r="I46" i="4" s="1"/>
  <c r="J44" i="4"/>
  <c r="I48" i="4" l="1"/>
  <c r="I47" i="4"/>
  <c r="I50" i="4" s="1"/>
  <c r="K32" i="4"/>
  <c r="K33" i="4" s="1"/>
  <c r="K34" i="4" s="1"/>
  <c r="K39" i="4" s="1"/>
  <c r="K27" i="4"/>
  <c r="K28" i="4" s="1"/>
  <c r="L24" i="4" s="1"/>
  <c r="L25" i="4" l="1"/>
  <c r="K40" i="4"/>
  <c r="K44" i="4"/>
  <c r="J45" i="4"/>
  <c r="J46" i="4" s="1"/>
  <c r="J48" i="4" l="1"/>
  <c r="J47" i="4"/>
  <c r="J50" i="4" s="1"/>
  <c r="L32" i="4"/>
  <c r="L33" i="4" s="1"/>
  <c r="L34" i="4" s="1"/>
  <c r="L39" i="4" s="1"/>
  <c r="L27" i="4"/>
  <c r="L28" i="4" s="1"/>
  <c r="M24" i="4" s="1"/>
  <c r="M25" i="4" l="1"/>
  <c r="L40" i="4"/>
  <c r="K45" i="4"/>
  <c r="K46" i="4" s="1"/>
  <c r="L44" i="4"/>
  <c r="K48" i="4" l="1"/>
  <c r="K47" i="4"/>
  <c r="K50" i="4" s="1"/>
  <c r="M32" i="4"/>
  <c r="M33" i="4" s="1"/>
  <c r="M34" i="4" s="1"/>
  <c r="M39" i="4" s="1"/>
  <c r="M27" i="4"/>
  <c r="M28" i="4" s="1"/>
  <c r="N24" i="4" s="1"/>
  <c r="N25" i="4" l="1"/>
  <c r="M40" i="4"/>
  <c r="L45" i="4"/>
  <c r="L46" i="4" s="1"/>
  <c r="M44" i="4"/>
  <c r="L47" i="4" l="1"/>
  <c r="L50" i="4" s="1"/>
  <c r="L48" i="4"/>
  <c r="N32" i="4"/>
  <c r="N33" i="4" s="1"/>
  <c r="N34" i="4" s="1"/>
  <c r="N39" i="4" s="1"/>
  <c r="N27" i="4"/>
  <c r="N28" i="4" s="1"/>
  <c r="O24" i="4" s="1"/>
  <c r="O25" i="4" l="1"/>
  <c r="N40" i="4"/>
  <c r="M45" i="4"/>
  <c r="M46" i="4" s="1"/>
  <c r="N44" i="4"/>
  <c r="M48" i="4" l="1"/>
  <c r="M47" i="4"/>
  <c r="M50" i="4" s="1"/>
  <c r="O32" i="4"/>
  <c r="O33" i="4" s="1"/>
  <c r="O34" i="4" s="1"/>
  <c r="O39" i="4" s="1"/>
  <c r="O27" i="4"/>
  <c r="O28" i="4" s="1"/>
  <c r="P24" i="4" s="1"/>
  <c r="O40" i="4" l="1"/>
  <c r="O44" i="4"/>
  <c r="N45" i="4"/>
  <c r="N46" i="4" s="1"/>
  <c r="P25" i="4"/>
  <c r="P32" i="4" l="1"/>
  <c r="P33" i="4" s="1"/>
  <c r="P34" i="4" s="1"/>
  <c r="P39" i="4" s="1"/>
  <c r="P27" i="4"/>
  <c r="P28" i="4" s="1"/>
  <c r="Q24" i="4" s="1"/>
  <c r="N47" i="4"/>
  <c r="N50" i="4" s="1"/>
  <c r="N48" i="4"/>
  <c r="Q25" i="4" l="1"/>
  <c r="P40" i="4"/>
  <c r="O45" i="4"/>
  <c r="O46" i="4" s="1"/>
  <c r="P44" i="4"/>
  <c r="O47" i="4" l="1"/>
  <c r="O50" i="4" s="1"/>
  <c r="O48" i="4"/>
  <c r="Q32" i="4"/>
  <c r="Q33" i="4" s="1"/>
  <c r="Q34" i="4" s="1"/>
  <c r="Q39" i="4" s="1"/>
  <c r="Q27" i="4"/>
  <c r="Q28" i="4" s="1"/>
  <c r="R24" i="4" s="1"/>
  <c r="R25" i="4" l="1"/>
  <c r="Q40" i="4"/>
  <c r="P45" i="4"/>
  <c r="P46" i="4" s="1"/>
  <c r="Q44" i="4"/>
  <c r="P47" i="4" l="1"/>
  <c r="P50" i="4" s="1"/>
  <c r="P48" i="4"/>
  <c r="R32" i="4"/>
  <c r="R33" i="4" s="1"/>
  <c r="R34" i="4" s="1"/>
  <c r="R39" i="4" s="1"/>
  <c r="R27" i="4"/>
  <c r="R28" i="4" s="1"/>
  <c r="R40" i="4" l="1"/>
  <c r="R44" i="4"/>
  <c r="R46" i="4" s="1"/>
  <c r="Q45" i="4"/>
  <c r="Q46" i="4" s="1"/>
  <c r="Q47" i="4" l="1"/>
  <c r="Q50" i="4" s="1"/>
  <c r="Q48" i="4"/>
  <c r="R48" i="4"/>
  <c r="R47" i="4"/>
  <c r="R50" i="4" s="1"/>
</calcChain>
</file>

<file path=xl/sharedStrings.xml><?xml version="1.0" encoding="utf-8"?>
<sst xmlns="http://schemas.openxmlformats.org/spreadsheetml/2006/main" count="366" uniqueCount="272">
  <si>
    <t>Tabs</t>
  </si>
  <si>
    <t>Debt sizing methodology (avoids circularity)</t>
  </si>
  <si>
    <t xml:space="preserve">  1) DSCR-sculpted capacity: initial balance = PV of the CFADS/DSCR-target debt service</t>
  </si>
  <si>
    <t xml:space="preserve">     iteration needed).</t>
  </si>
  <si>
    <t xml:space="preserve">  3) LLCR-implied capacity: PV of sizing CFADS at the LLCR discount rate, / LLCR minimum.</t>
  </si>
  <si>
    <t>Debt tenor &amp; refinancing</t>
  </si>
  <si>
    <t>Base case tenor (15 years) matches the SDE+ subsidy period exactly, so the facility fully</t>
  </si>
  <si>
    <t>amortises with no refinancing required within the model horizon. The refinancing rate</t>
  </si>
  <si>
    <t>shorter-tenor structure, not the base case.</t>
  </si>
  <si>
    <t>Cost overrun is assumed funded by additional sponsor equity, not additional debt.</t>
  </si>
  <si>
    <t>Years 16-25 (post-debt-repayment) continue at the ex-ante price for consistency with</t>
  </si>
  <si>
    <t>Assumptions</t>
  </si>
  <si>
    <t>Parameter</t>
  </si>
  <si>
    <t>Value</t>
  </si>
  <si>
    <t>Unit</t>
  </si>
  <si>
    <t>Source / note</t>
  </si>
  <si>
    <t>Physical &amp; production</t>
  </si>
  <si>
    <t>Capacity</t>
  </si>
  <si>
    <t>MW</t>
  </si>
  <si>
    <t>Orsted (final)</t>
  </si>
  <si>
    <t>Capacity factor (P50)</t>
  </si>
  <si>
    <t>fraction</t>
  </si>
  <si>
    <t>CREG 2016</t>
  </si>
  <si>
    <t>Annual degradation</t>
  </si>
  <si>
    <t>As Project 1</t>
  </si>
  <si>
    <t>P90 uncertainty (of P50)</t>
  </si>
  <si>
    <t>Market convention, wind EYA (~8-12%)</t>
  </si>
  <si>
    <t>Capacity factor (P90)</t>
  </si>
  <si>
    <t>NORM.INV(0.10, P50, P50 x uncertainty)</t>
  </si>
  <si>
    <t>CAPEX &amp; decommissioning</t>
  </si>
  <si>
    <t>CAPEX total (EIB)</t>
  </si>
  <si>
    <t>EUR m</t>
  </si>
  <si>
    <t>EIB 2020</t>
  </si>
  <si>
    <t>CAPEX total</t>
  </si>
  <si>
    <t>EUR</t>
  </si>
  <si>
    <t>m x 1,000,000</t>
  </si>
  <si>
    <t>Decommissioning cost</t>
  </si>
  <si>
    <t>Cost overrun (stress)</t>
  </si>
  <si>
    <t>Stress test input</t>
  </si>
  <si>
    <t>OPEX</t>
  </si>
  <si>
    <t>OPEX variable</t>
  </si>
  <si>
    <t>EUR/MWh</t>
  </si>
  <si>
    <t>OPEX fixed</t>
  </si>
  <si>
    <t>EUR/MW/yr</t>
  </si>
  <si>
    <t>OPEX inflation</t>
  </si>
  <si>
    <t>fraction/yr</t>
  </si>
  <si>
    <t>Assumption</t>
  </si>
  <si>
    <t>Revenue / SDE+ (ex-ante lens)</t>
  </si>
  <si>
    <t>Tender amount</t>
  </si>
  <si>
    <t>CREG / Orsted / EZ</t>
  </si>
  <si>
    <t>Floor (base electricity price)</t>
  </si>
  <si>
    <t>RVO</t>
  </si>
  <si>
    <t>Subsidy period</t>
  </si>
  <si>
    <t>years</t>
  </si>
  <si>
    <t>Court of Audit / RVO</t>
  </si>
  <si>
    <t>Market price (ex-ante)</t>
  </si>
  <si>
    <t>Price shock (stress)</t>
  </si>
  <si>
    <t>Original financing (2016)</t>
  </si>
  <si>
    <t>EUR 15Y swap rate</t>
  </si>
  <si>
    <t>ADB Treasury, 31-Aug-2016</t>
  </si>
  <si>
    <t>Margin</t>
  </si>
  <si>
    <t>Green Giraffe (&lt;225bp for 2016)</t>
  </si>
  <si>
    <t>All-in interest rate</t>
  </si>
  <si>
    <t>swap + margin</t>
  </si>
  <si>
    <t>Leverage cap</t>
  </si>
  <si>
    <t>fraction of CAPEX</t>
  </si>
  <si>
    <t>LOFOTR (70-80% range); Gemini ~70%</t>
  </si>
  <si>
    <t>Debt tenor</t>
  </si>
  <si>
    <t>Green Giraffe 2016; matches subsidy period</t>
  </si>
  <si>
    <t>DSCR sculpting target</t>
  </si>
  <si>
    <t>x</t>
  </si>
  <si>
    <t>LOFOTR / Fitch (contracted)</t>
  </si>
  <si>
    <t>DSCR historic covenant</t>
  </si>
  <si>
    <t>LOFOTR term sheet</t>
  </si>
  <si>
    <t>DSCR forward covenant</t>
  </si>
  <si>
    <t>Distribution lock-up DSCR</t>
  </si>
  <si>
    <t>LOFOTR term sheet (1.20-1.25x)</t>
  </si>
  <si>
    <t>LLCR minimum</t>
  </si>
  <si>
    <t>LOFOTR / SunRaise</t>
  </si>
  <si>
    <t>LLCR discount rate (real)</t>
  </si>
  <si>
    <t>SunRaise (6-8% real)</t>
  </si>
  <si>
    <t>DSRA target</t>
  </si>
  <si>
    <t>months debt service</t>
  </si>
  <si>
    <t>Forvis Mazars / Financial Edge / LOFOTR</t>
  </si>
  <si>
    <t>Tax</t>
  </si>
  <si>
    <t>CIT low-bracket threshold</t>
  </si>
  <si>
    <t>Belastingdienst 2026</t>
  </si>
  <si>
    <t>CIT low-bracket rate</t>
  </si>
  <si>
    <t>CIT high-bracket rate</t>
  </si>
  <si>
    <t>ATAD franchise</t>
  </si>
  <si>
    <t>Belastingdienst</t>
  </si>
  <si>
    <t>ATAD rate, 2019-2021</t>
  </si>
  <si>
    <t>fraction of fiscal EBITDA</t>
  </si>
  <si>
    <t>Belastingdienst / PwC</t>
  </si>
  <si>
    <t>ATAD rate, 2022-2024</t>
  </si>
  <si>
    <t>ATAD rate, 2025+</t>
  </si>
  <si>
    <t>Refi swap rate, low</t>
  </si>
  <si>
    <t>Refinitiv, 52wk range low</t>
  </si>
  <si>
    <t>Refi swap rate, mid</t>
  </si>
  <si>
    <t>Refinitiv, current 15Y EUR swap</t>
  </si>
  <si>
    <t>Refi swap rate, high</t>
  </si>
  <si>
    <t>Refinitiv, 52wk range high</t>
  </si>
  <si>
    <t>Refi margin, low</t>
  </si>
  <si>
    <t>2016-level historical margin</t>
  </si>
  <si>
    <t>Refi margin, mid</t>
  </si>
  <si>
    <t>+1-3pp merchant premium (Arup/PwC)</t>
  </si>
  <si>
    <t>Refi margin, high</t>
  </si>
  <si>
    <t>Upper end merchant premium + ING view</t>
  </si>
  <si>
    <t>Refi all-in, low</t>
  </si>
  <si>
    <t>Refi all-in, mid</t>
  </si>
  <si>
    <t>Refi all-in, high</t>
  </si>
  <si>
    <t>Timeline</t>
  </si>
  <si>
    <t>COD (start of operations)</t>
  </si>
  <si>
    <t>year</t>
  </si>
  <si>
    <t>Orsted Q4 2020</t>
  </si>
  <si>
    <t>Total operational life</t>
  </si>
  <si>
    <t>Debt Sizing</t>
  </si>
  <si>
    <t>Metric</t>
  </si>
  <si>
    <t>Note</t>
  </si>
  <si>
    <t>CFADS for sizing (excl. interest tax shield)</t>
  </si>
  <si>
    <t>Gross annual production (P50)</t>
  </si>
  <si>
    <t>Depreciation (per year)</t>
  </si>
  <si>
    <t>Sizing-basis 15-year debt service (CFADS / DSCR target)</t>
  </si>
  <si>
    <t>Operational year</t>
  </si>
  <si>
    <t>Production (MWh)</t>
  </si>
  <si>
    <t>Revenue (EUR) [tender-capped]</t>
  </si>
  <si>
    <t>OPEX (EUR)</t>
  </si>
  <si>
    <t>EBITDA (EUR)</t>
  </si>
  <si>
    <t>EBIT (EUR, pre-interest)</t>
  </si>
  <si>
    <t>Sizing tax (excl. interest shield)</t>
  </si>
  <si>
    <t>CFADS (sizing basis)</t>
  </si>
  <si>
    <t>Sizing debt service (CFADS/target)</t>
  </si>
  <si>
    <t>Sizing outcome</t>
  </si>
  <si>
    <t>DSCR-sculpted debt capacity (EUR)</t>
  </si>
  <si>
    <t>PV of sculpted debt service, discounted at the loan rate</t>
  </si>
  <si>
    <t>Leverage cap (EUR)</t>
  </si>
  <si>
    <t>70% of total project cost</t>
  </si>
  <si>
    <t>LLCR-implied debt capacity (EUR)</t>
  </si>
  <si>
    <t>PV of sizing CFADS at the LLCR discount rate, / LLCR minimum</t>
  </si>
  <si>
    <t>Actual initial debt balance (EUR)</t>
  </si>
  <si>
    <t>Scale factor (actual / DSCR-sculpted)</t>
  </si>
  <si>
    <t>Implied realised DSCR (base case, flat)</t>
  </si>
  <si>
    <t>Binding constraint</t>
  </si>
  <si>
    <t>Actual (scaled) 15-year debt service</t>
  </si>
  <si>
    <t>Actual debt service (EUR)</t>
  </si>
  <si>
    <t>LLCR at financial close (actual debt)</t>
  </si>
  <si>
    <t>Cash Flow &amp; Waterfall</t>
  </si>
  <si>
    <t>Calendar year</t>
  </si>
  <si>
    <t>PRODUCTION</t>
  </si>
  <si>
    <t>Degradation factor</t>
  </si>
  <si>
    <t>Net production (MWh)</t>
  </si>
  <si>
    <t>REVENUE (ex-ante lens)</t>
  </si>
  <si>
    <t>Market price (EUR/MWh)</t>
  </si>
  <si>
    <t>Subsidy (EUR/MWh)</t>
  </si>
  <si>
    <t>Total price (EUR/MWh)</t>
  </si>
  <si>
    <t>Total revenue (EUR)</t>
  </si>
  <si>
    <t>OPEX variable (EUR)</t>
  </si>
  <si>
    <t>OPEX fixed (EUR)</t>
  </si>
  <si>
    <t>Total OPEX (EUR)</t>
  </si>
  <si>
    <t>EBITDA &amp; DEPRECIATION</t>
  </si>
  <si>
    <t>Depreciation (EUR)</t>
  </si>
  <si>
    <t>DEBT SCHEDULE (years 1-15 only)</t>
  </si>
  <si>
    <t>Opening balance (EUR)</t>
  </si>
  <si>
    <t>Interest expense (EUR)</t>
  </si>
  <si>
    <t>Debt service, total (EUR)</t>
  </si>
  <si>
    <t>Principal repayment (EUR)</t>
  </si>
  <si>
    <t>Closing balance (EUR)</t>
  </si>
  <si>
    <t>TAX (actual, incl. interest shield &amp; ATAD cap)</t>
  </si>
  <si>
    <t>ATAD rate applicable</t>
  </si>
  <si>
    <t>ATAD deduction cap (EUR)</t>
  </si>
  <si>
    <t>Deductible interest (EUR)</t>
  </si>
  <si>
    <t>Taxable EBIT (EUR)</t>
  </si>
  <si>
    <t>Tax, actual (EUR)</t>
  </si>
  <si>
    <t>CASH FLOW &amp; DISTRIBUTION WATERFALL</t>
  </si>
  <si>
    <t>CAPEX (EUR)</t>
  </si>
  <si>
    <t>Debt drawn (EUR)</t>
  </si>
  <si>
    <t>Equity drawn, incl. DSRA pre-funding (EUR)</t>
  </si>
  <si>
    <t>CFADS, actual (EBITDA + tax, before debt service)</t>
  </si>
  <si>
    <t>Residual cash flow (after debt service)</t>
  </si>
  <si>
    <t>DSRA target (EUR)</t>
  </si>
  <si>
    <t>DSRA opening balance (EUR)</t>
  </si>
  <si>
    <t>DSRA movement (funding) / release (EUR)</t>
  </si>
  <si>
    <t>DSCR, historic (current year)</t>
  </si>
  <si>
    <t>n/a</t>
  </si>
  <si>
    <t>DSCR, forward (next year)</t>
  </si>
  <si>
    <t>Distribution lock-up test (PASS/FAIL)</t>
  </si>
  <si>
    <t>Distributable to equity (EUR)</t>
  </si>
  <si>
    <t>Cash trapped by lock-up (EUR)</t>
  </si>
  <si>
    <t>Decommissioning (EUR)</t>
  </si>
  <si>
    <t>Free cash flow to equity (EUR)</t>
  </si>
  <si>
    <t>Stress Tests</t>
  </si>
  <si>
    <t>Debt service (base case, EUR)</t>
  </si>
  <si>
    <t>SCENARIO: Base case (P50, ex-ante price)</t>
  </si>
  <si>
    <t>Total price incl. subsidy (EUR/MWh)</t>
  </si>
  <si>
    <t>Revenue (EUR)</t>
  </si>
  <si>
    <t>Tax, approx. (EUR)</t>
  </si>
  <si>
    <t>CFADS (EUR)</t>
  </si>
  <si>
    <t>DSCR</t>
  </si>
  <si>
    <t>Min DSCR / Historic breaches / Forward breaches / Lock-up fails</t>
  </si>
  <si>
    <t>SCENARIO: P90 production</t>
  </si>
  <si>
    <t>SCENARIO: Price shock (ex-ante -20%)</t>
  </si>
  <si>
    <t>SCENARIO: Combined stress (P90 + price shock)</t>
  </si>
  <si>
    <t>SCENARIO: Cost overrun (+20% CAPEX, sponsor-funded via equity)</t>
  </si>
  <si>
    <t>Additional CAPEX (EUR)</t>
  </si>
  <si>
    <t>Impact on debt service / DSCR</t>
  </si>
  <si>
    <t>Debt sizing</t>
  </si>
  <si>
    <t>Actual initial debt balance (EUR m)</t>
  </si>
  <si>
    <t>Lower of DSCR / leverage cap / LLCR tests</t>
  </si>
  <si>
    <t>Determines which test sizes the facility</t>
  </si>
  <si>
    <t>Implied gearing (% of CAPEX)</t>
  </si>
  <si>
    <t>vs. 70% leverage cap</t>
  </si>
  <si>
    <t>Realised base-case DSCR (flat, yrs 1-15)</t>
  </si>
  <si>
    <t>vs. 1.30x sculpting target</t>
  </si>
  <si>
    <t>LLCR at financial close</t>
  </si>
  <si>
    <t>vs. 1.40x minimum (binding)</t>
  </si>
  <si>
    <t>Stress test summary (minimum DSCR, years 1-15)</t>
  </si>
  <si>
    <t>Scenario</t>
  </si>
  <si>
    <t>Min DSCR</t>
  </si>
  <si>
    <t>vs. Lock-up (1.20x)</t>
  </si>
  <si>
    <t>Base case (P50)</t>
  </si>
  <si>
    <t>No stress applied</t>
  </si>
  <si>
    <t>P90 production</t>
  </si>
  <si>
    <t>~10% uncertainty on P50 wind yield</t>
  </si>
  <si>
    <t>Price shock (-20% ex-ante price)</t>
  </si>
  <si>
    <t>Pushes price toward/below the SDE+ floor</t>
  </si>
  <si>
    <t>Combined (P90 + price shock)</t>
  </si>
  <si>
    <t>Most severe scenario tested</t>
  </si>
  <si>
    <t>Benchmark: Gemini offshore wind (2014)</t>
  </si>
  <si>
    <t>Gemini</t>
  </si>
  <si>
    <t>Borssele 1&amp;2</t>
  </si>
  <si>
    <t>Capacity (MW)</t>
  </si>
  <si>
    <t>Gemini ~20% smaller</t>
  </si>
  <si>
    <t>Financial close</t>
  </si>
  <si>
    <t>May 2014</t>
  </si>
  <si>
    <t>Jul 2016</t>
  </si>
  <si>
    <t>Gemini 2 years earlier, same cost-decline cycle</t>
  </si>
  <si>
    <t>Total project cost (EUR m)</t>
  </si>
  <si>
    <t>Gemini's cost reflects an earlier, higher-cost vintage</t>
  </si>
  <si>
    <t>Long-term debt facility (EUR m)</t>
  </si>
  <si>
    <t>920 (this model)</t>
  </si>
  <si>
    <t>Both financed via bank + ECA + EIB syndicate</t>
  </si>
  <si>
    <t>Implied gearing</t>
  </si>
  <si>
    <t>~70%</t>
  </si>
  <si>
    <t>~62% (LLCR-constrained)</t>
  </si>
  <si>
    <t>Gemini's a useful sense-check on syndicate scale</t>
  </si>
  <si>
    <t>Syndicate</t>
  </si>
  <si>
    <t>22 parties incl. EIB, 1 pension fund</t>
  </si>
  <si>
    <t>EIB confirmed (EUR 500m)</t>
  </si>
  <si>
    <t>Confirms multi-lender syndication is standard at this scale</t>
  </si>
  <si>
    <t>Assumptions: all inputs (blue). Change a value and the model recalculates.</t>
  </si>
  <si>
    <t>Debt Sizing: sizes the facility off the lowest of a DSCR-sculpted test, a leverage cap, and an LLCR test.</t>
  </si>
  <si>
    <t>Cash Flow &amp; Waterfall: annual model, years 0-25: production through equity distributions.</t>
  </si>
  <si>
    <t>Stress Tests: P90 production, price shock, cost overrun, combined stress.</t>
  </si>
  <si>
    <t>Dashboard: key outputs and the Gemini benchmark comparison.</t>
  </si>
  <si>
    <t xml:space="preserve">     stream, discounted at the loan interest rate (a closed-form NPV, no circular</t>
  </si>
  <si>
    <t>scenarios in Assumptions are shown for reference relevant only under an alternative,</t>
  </si>
  <si>
    <t>remaining amortisation a full dynamic waterfall would require iterative solving.</t>
  </si>
  <si>
    <t>None</t>
  </si>
  <si>
    <t>Key outputs</t>
  </si>
  <si>
    <t>Debt is sized off the lowest of three tests:</t>
  </si>
  <si>
    <t xml:space="preserve">  2) Leverage cap: 70% of total project CAPEX.</t>
  </si>
  <si>
    <t>CFADS for the sizing test excludes the interest tax shield (a conservative, standard</t>
  </si>
  <si>
    <t>lender convention). The Cash Flow &amp; Waterfall tab computes actual tax with the interest</t>
  </si>
  <si>
    <t xml:space="preserve">deduction, so realised DSCR normally comes out slightly above </t>
  </si>
  <si>
    <t>the sizing target extra headroom for the lender.</t>
  </si>
  <si>
    <t>Borssele 1 &amp; 2 Project Finance Debt Model</t>
  </si>
  <si>
    <t xml:space="preserve">Simplifications </t>
  </si>
  <si>
    <t>Distribution lock-up traps cash rather than dynamically re-sculpting the</t>
  </si>
  <si>
    <t>LLCR is shown at financial close, not re-tested every year.</t>
  </si>
  <si>
    <t>Project 1's ex-ante lens.</t>
  </si>
  <si>
    <t>Refinancing scenarios (reference only, not used in base case)</t>
  </si>
  <si>
    <t>Lower of the three tests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</si>
</sst>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0.000%"/>
    <numFmt numFmtId="166" formatCode="0.000"/>
    <numFmt numFmtId="167" formatCode="#,##0;\(#,##0\);\-"/>
  </numFmts>
  <fonts count="20" x14ac:knownFonts="1">
    <font>
      <sz val="11"/>
      <color theme="1"/>
      <name val="Calibri"/>
      <family val="2"/>
      <charset val="1"/>
    </font>
    <font>
      <b/>
      <sz val="16"/>
      <color rgb="FF1F3A5F"/>
      <name val="Arial"/>
      <family val="2"/>
    </font>
    <font>
      <i/>
      <sz val="10"/>
      <color rgb="FF666666"/>
      <name val="Arial"/>
      <family val="2"/>
    </font>
    <font>
      <b/>
      <sz val="11"/>
      <color rgb="FF1F3A5F"/>
      <name val="Arial"/>
      <family val="2"/>
    </font>
    <font>
      <sz val="10"/>
      <color rgb="FF000000"/>
      <name val="Arial"/>
      <family val="2"/>
    </font>
    <font>
      <b/>
      <sz val="15"/>
      <color rgb="FF1F3A5F"/>
      <name val="Arial"/>
      <family val="2"/>
    </font>
    <font>
      <i/>
      <sz val="9"/>
      <color rgb="FF666666"/>
      <name val="Arial"/>
      <family val="2"/>
    </font>
    <font>
      <b/>
      <sz val="10"/>
      <color rgb="FFFFFFFF"/>
      <name val="Arial"/>
      <family val="2"/>
    </font>
    <font>
      <b/>
      <sz val="10"/>
      <color rgb="FF2E6E8E"/>
      <name val="Arial"/>
      <family val="2"/>
    </font>
    <font>
      <sz val="10"/>
      <color rgb="FF0000FF"/>
      <name val="Arial"/>
      <family val="2"/>
    </font>
    <font>
      <sz val="9"/>
      <color rgb="FF666666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Arial"/>
      <family val="2"/>
    </font>
    <font>
      <b/>
      <sz val="14"/>
      <color rgb="FF1F3A5F"/>
      <name val="Arial"/>
      <family val="2"/>
    </font>
    <font>
      <b/>
      <sz val="9"/>
      <color rgb="FF2E6E8E"/>
      <name val="Arial"/>
      <family val="2"/>
    </font>
    <font>
      <i/>
      <sz val="9"/>
      <color rgb="FF000000"/>
      <name val="Arial"/>
      <family val="2"/>
    </font>
    <font>
      <b/>
      <sz val="9"/>
      <color rgb="FF993C1D"/>
      <name val="Arial"/>
      <family val="2"/>
    </font>
    <font>
      <i/>
      <sz val="11"/>
      <color rgb="FF666666"/>
      <name val="Arial"/>
      <family val="2"/>
    </font>
    <font>
      <b/>
      <sz val="10"/>
      <color rgb="FF008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DCE6EE"/>
        <bgColor rgb="FFD0D8DE"/>
      </patternFill>
    </fill>
  </fills>
  <borders count="2">
    <border>
      <left/>
      <right/>
      <top/>
      <bottom/>
      <diagonal/>
    </border>
    <border>
      <left style="thin">
        <color rgb="FFD0D8DE"/>
      </left>
      <right style="thin">
        <color rgb="FFD0D8DE"/>
      </right>
      <top style="thin">
        <color rgb="FFD0D8DE"/>
      </top>
      <bottom style="thin">
        <color rgb="FFD0D8DE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left" vertical="center" wrapText="1"/>
    </xf>
    <xf numFmtId="0" fontId="5" fillId="0" borderId="0" xfId="0" applyFont="1"/>
    <xf numFmtId="0" fontId="6" fillId="0" borderId="0" xfId="0" applyFont="1"/>
    <xf numFmtId="0" fontId="7" fillId="2" borderId="1" xfId="0" applyFont="1" applyFill="1" applyBorder="1" applyAlignment="1">
      <alignment horizontal="left" vertical="center" wrapText="1"/>
    </xf>
    <xf numFmtId="0" fontId="8" fillId="3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right" vertical="center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center" wrapText="1"/>
    </xf>
    <xf numFmtId="164" fontId="9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3" fontId="9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2" fontId="9" fillId="0" borderId="1" xfId="0" applyNumberFormat="1" applyFont="1" applyBorder="1" applyAlignment="1">
      <alignment horizontal="right" vertical="center"/>
    </xf>
    <xf numFmtId="1" fontId="9" fillId="0" borderId="1" xfId="0" applyNumberFormat="1" applyFont="1" applyBorder="1" applyAlignment="1">
      <alignment horizontal="right" vertical="center"/>
    </xf>
    <xf numFmtId="165" fontId="9" fillId="0" borderId="1" xfId="0" applyNumberFormat="1" applyFont="1" applyBorder="1" applyAlignment="1">
      <alignment horizontal="right" vertical="center"/>
    </xf>
    <xf numFmtId="10" fontId="9" fillId="0" borderId="1" xfId="0" applyNumberFormat="1" applyFont="1" applyBorder="1" applyAlignment="1">
      <alignment horizontal="right" vertical="center"/>
    </xf>
    <xf numFmtId="10" fontId="4" fillId="0" borderId="1" xfId="0" applyNumberFormat="1" applyFont="1" applyBorder="1" applyAlignment="1">
      <alignment horizontal="right" vertical="center"/>
    </xf>
    <xf numFmtId="0" fontId="11" fillId="0" borderId="1" xfId="0" applyFont="1" applyBorder="1" applyAlignment="1">
      <alignment horizontal="left" vertical="center"/>
    </xf>
    <xf numFmtId="0" fontId="11" fillId="3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left" vertical="center"/>
    </xf>
    <xf numFmtId="3" fontId="12" fillId="0" borderId="1" xfId="0" applyNumberFormat="1" applyFont="1" applyBorder="1" applyAlignment="1">
      <alignment horizontal="right" vertical="center"/>
    </xf>
    <xf numFmtId="3" fontId="11" fillId="0" borderId="1" xfId="0" applyNumberFormat="1" applyFont="1" applyBorder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13" fillId="0" borderId="1" xfId="0" applyFont="1" applyBorder="1" applyAlignment="1">
      <alignment horizontal="left" vertical="center"/>
    </xf>
    <xf numFmtId="3" fontId="13" fillId="0" borderId="1" xfId="0" applyNumberFormat="1" applyFont="1" applyBorder="1" applyAlignment="1">
      <alignment horizontal="right" vertical="center"/>
    </xf>
    <xf numFmtId="166" fontId="4" fillId="0" borderId="1" xfId="0" applyNumberFormat="1" applyFont="1" applyBorder="1" applyAlignment="1">
      <alignment horizontal="right" vertical="center"/>
    </xf>
    <xf numFmtId="2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2" fontId="13" fillId="0" borderId="1" xfId="0" applyNumberFormat="1" applyFont="1" applyBorder="1" applyAlignment="1">
      <alignment horizontal="right" vertical="center"/>
    </xf>
    <xf numFmtId="0" fontId="14" fillId="0" borderId="0" xfId="0" applyFont="1"/>
    <xf numFmtId="0" fontId="11" fillId="0" borderId="0" xfId="0" applyFont="1" applyAlignment="1">
      <alignment horizontal="left" vertical="center"/>
    </xf>
    <xf numFmtId="1" fontId="11" fillId="3" borderId="0" xfId="0" applyNumberFormat="1" applyFont="1" applyFill="1" applyAlignment="1">
      <alignment horizontal="center" vertical="center"/>
    </xf>
    <xf numFmtId="1" fontId="12" fillId="3" borderId="0" xfId="0" applyNumberFormat="1" applyFont="1" applyFill="1" applyAlignment="1">
      <alignment horizontal="center" vertical="center"/>
    </xf>
    <xf numFmtId="0" fontId="15" fillId="3" borderId="1" xfId="0" applyFont="1" applyFill="1" applyBorder="1" applyAlignment="1">
      <alignment horizontal="left" vertical="center"/>
    </xf>
    <xf numFmtId="166" fontId="12" fillId="0" borderId="1" xfId="0" applyNumberFormat="1" applyFont="1" applyBorder="1" applyAlignment="1">
      <alignment horizontal="right" vertical="center"/>
    </xf>
    <xf numFmtId="4" fontId="12" fillId="0" borderId="1" xfId="0" applyNumberFormat="1" applyFont="1" applyBorder="1" applyAlignment="1">
      <alignment horizontal="right" vertical="center"/>
    </xf>
    <xf numFmtId="167" fontId="12" fillId="0" borderId="1" xfId="0" applyNumberFormat="1" applyFont="1" applyBorder="1" applyAlignment="1">
      <alignment horizontal="right" vertical="center"/>
    </xf>
    <xf numFmtId="164" fontId="12" fillId="0" borderId="1" xfId="0" applyNumberFormat="1" applyFont="1" applyBorder="1" applyAlignment="1">
      <alignment horizontal="right" vertical="center"/>
    </xf>
    <xf numFmtId="2" fontId="12" fillId="0" borderId="1" xfId="0" applyNumberFormat="1" applyFont="1" applyBorder="1" applyAlignment="1">
      <alignment horizontal="right" vertical="center"/>
    </xf>
    <xf numFmtId="0" fontId="6" fillId="0" borderId="1" xfId="0" applyFont="1" applyBorder="1" applyAlignment="1">
      <alignment horizontal="left" vertical="center"/>
    </xf>
    <xf numFmtId="3" fontId="6" fillId="0" borderId="1" xfId="0" applyNumberFormat="1" applyFont="1" applyBorder="1" applyAlignment="1">
      <alignment horizontal="right" vertical="center"/>
    </xf>
    <xf numFmtId="2" fontId="11" fillId="0" borderId="1" xfId="0" applyNumberFormat="1" applyFont="1" applyBorder="1" applyAlignment="1">
      <alignment horizontal="right" vertical="center"/>
    </xf>
    <xf numFmtId="0" fontId="16" fillId="0" borderId="1" xfId="0" applyFont="1" applyBorder="1" applyAlignment="1">
      <alignment horizontal="left" vertical="center"/>
    </xf>
    <xf numFmtId="2" fontId="17" fillId="0" borderId="1" xfId="0" applyNumberFormat="1" applyFont="1" applyBorder="1" applyAlignment="1">
      <alignment horizontal="right" vertical="center"/>
    </xf>
    <xf numFmtId="1" fontId="12" fillId="0" borderId="1" xfId="0" applyNumberFormat="1" applyFont="1" applyBorder="1" applyAlignment="1">
      <alignment horizontal="right" vertical="center"/>
    </xf>
    <xf numFmtId="0" fontId="18" fillId="0" borderId="0" xfId="0" applyFont="1"/>
    <xf numFmtId="3" fontId="19" fillId="0" borderId="1" xfId="0" applyNumberFormat="1" applyFont="1" applyBorder="1" applyAlignment="1">
      <alignment horizontal="right" vertical="center"/>
    </xf>
    <xf numFmtId="49" fontId="19" fillId="0" borderId="1" xfId="0" applyNumberFormat="1" applyFont="1" applyBorder="1" applyAlignment="1">
      <alignment horizontal="right" vertical="center"/>
    </xf>
    <xf numFmtId="164" fontId="19" fillId="0" borderId="1" xfId="0" applyNumberFormat="1" applyFont="1" applyBorder="1" applyAlignment="1">
      <alignment horizontal="right" vertical="center"/>
    </xf>
    <xf numFmtId="2" fontId="19" fillId="0" borderId="1" xfId="0" applyNumberFormat="1" applyFont="1" applyBorder="1" applyAlignment="1">
      <alignment horizontal="right" vertical="center"/>
    </xf>
    <xf numFmtId="0" fontId="13" fillId="0" borderId="1" xfId="0" applyFont="1" applyBorder="1" applyAlignment="1">
      <alignment horizontal="right" vertical="center"/>
    </xf>
    <xf numFmtId="0" fontId="6" fillId="0" borderId="0" xfId="0" applyFont="1" applyAlignment="1">
      <alignment horizontal="left" vertical="center" wrapText="1"/>
    </xf>
    <xf numFmtId="0" fontId="4" fillId="0" borderId="1" xfId="0" applyNumberFormat="1" applyFont="1" applyBorder="1" applyAlignment="1">
      <alignment horizontal="right" vertical="center"/>
    </xf>
    <xf numFmtId="0" fontId="13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E6E8E"/>
      <rgbColor rgb="FFC0C0C0"/>
      <rgbColor rgb="FF808080"/>
      <rgbColor rgb="FF9999FF"/>
      <rgbColor rgb="FF993366"/>
      <rgbColor rgb="FFFFFFCC"/>
      <rgbColor rgb="FFDCE6EE"/>
      <rgbColor rgb="FF660066"/>
      <rgbColor rgb="FFFF8080"/>
      <rgbColor rgb="FF0066CC"/>
      <rgbColor rgb="FFD0D8D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A5F"/>
      <rgbColor rgb="FF339966"/>
      <rgbColor rgb="FF003300"/>
      <rgbColor rgb="FF333300"/>
      <rgbColor rgb="FF993C1D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36"/>
  <sheetViews>
    <sheetView showGridLines="0" tabSelected="1" zoomScale="119" zoomScaleNormal="100" workbookViewId="0"/>
  </sheetViews>
  <sheetFormatPr baseColWidth="10" defaultColWidth="8.6640625" defaultRowHeight="15" x14ac:dyDescent="0.2"/>
  <cols>
    <col min="1" max="1" width="3" customWidth="1"/>
    <col min="2" max="2" width="100" customWidth="1"/>
  </cols>
  <sheetData>
    <row r="2" spans="2:2" ht="19.5" customHeight="1" x14ac:dyDescent="0.2">
      <c r="B2" s="1" t="s">
        <v>265</v>
      </c>
    </row>
    <row r="3" spans="2:2" ht="15" customHeight="1" x14ac:dyDescent="0.2">
      <c r="B3" s="2"/>
    </row>
    <row r="5" spans="2:2" ht="15" customHeight="1" x14ac:dyDescent="0.2">
      <c r="B5" s="3" t="s">
        <v>0</v>
      </c>
    </row>
    <row r="6" spans="2:2" ht="15" customHeight="1" x14ac:dyDescent="0.2">
      <c r="B6" s="4" t="s">
        <v>249</v>
      </c>
    </row>
    <row r="7" spans="2:2" ht="15" customHeight="1" x14ac:dyDescent="0.2">
      <c r="B7" s="4" t="s">
        <v>250</v>
      </c>
    </row>
    <row r="8" spans="2:2" ht="15" customHeight="1" x14ac:dyDescent="0.2">
      <c r="B8" s="4" t="s">
        <v>251</v>
      </c>
    </row>
    <row r="9" spans="2:2" ht="15" customHeight="1" x14ac:dyDescent="0.2">
      <c r="B9" s="4" t="s">
        <v>252</v>
      </c>
    </row>
    <row r="10" spans="2:2" ht="15" customHeight="1" x14ac:dyDescent="0.2">
      <c r="B10" s="4" t="s">
        <v>253</v>
      </c>
    </row>
    <row r="12" spans="2:2" ht="15" customHeight="1" x14ac:dyDescent="0.2">
      <c r="B12" s="3" t="s">
        <v>1</v>
      </c>
    </row>
    <row r="13" spans="2:2" ht="15" customHeight="1" x14ac:dyDescent="0.2">
      <c r="B13" s="4" t="s">
        <v>259</v>
      </c>
    </row>
    <row r="14" spans="2:2" ht="15" customHeight="1" x14ac:dyDescent="0.2">
      <c r="B14" s="4" t="s">
        <v>2</v>
      </c>
    </row>
    <row r="15" spans="2:2" ht="15" customHeight="1" x14ac:dyDescent="0.2">
      <c r="B15" s="4" t="s">
        <v>254</v>
      </c>
    </row>
    <row r="16" spans="2:2" ht="15" customHeight="1" x14ac:dyDescent="0.2">
      <c r="B16" s="4" t="s">
        <v>3</v>
      </c>
    </row>
    <row r="17" spans="2:2" ht="15" customHeight="1" x14ac:dyDescent="0.2">
      <c r="B17" s="4" t="s">
        <v>260</v>
      </c>
    </row>
    <row r="18" spans="2:2" ht="15" customHeight="1" x14ac:dyDescent="0.2">
      <c r="B18" s="4" t="s">
        <v>4</v>
      </c>
    </row>
    <row r="19" spans="2:2" ht="15" customHeight="1" x14ac:dyDescent="0.2">
      <c r="B19" s="4" t="s">
        <v>261</v>
      </c>
    </row>
    <row r="20" spans="2:2" ht="15" customHeight="1" x14ac:dyDescent="0.2">
      <c r="B20" s="4" t="s">
        <v>262</v>
      </c>
    </row>
    <row r="21" spans="2:2" ht="15" customHeight="1" x14ac:dyDescent="0.2">
      <c r="B21" s="4" t="s">
        <v>263</v>
      </c>
    </row>
    <row r="22" spans="2:2" ht="15" customHeight="1" x14ac:dyDescent="0.2">
      <c r="B22" s="4" t="s">
        <v>264</v>
      </c>
    </row>
    <row r="24" spans="2:2" ht="15" customHeight="1" x14ac:dyDescent="0.2">
      <c r="B24" s="3" t="s">
        <v>5</v>
      </c>
    </row>
    <row r="25" spans="2:2" ht="15" customHeight="1" x14ac:dyDescent="0.2">
      <c r="B25" s="4" t="s">
        <v>6</v>
      </c>
    </row>
    <row r="26" spans="2:2" ht="15" customHeight="1" x14ac:dyDescent="0.2">
      <c r="B26" s="4" t="s">
        <v>7</v>
      </c>
    </row>
    <row r="27" spans="2:2" ht="15" customHeight="1" x14ac:dyDescent="0.2">
      <c r="B27" s="4" t="s">
        <v>255</v>
      </c>
    </row>
    <row r="28" spans="2:2" ht="15" customHeight="1" x14ac:dyDescent="0.2">
      <c r="B28" s="4" t="s">
        <v>8</v>
      </c>
    </row>
    <row r="30" spans="2:2" ht="15" customHeight="1" x14ac:dyDescent="0.2">
      <c r="B30" s="3" t="s">
        <v>266</v>
      </c>
    </row>
    <row r="31" spans="2:2" ht="15" customHeight="1" x14ac:dyDescent="0.2">
      <c r="B31" s="4" t="s">
        <v>267</v>
      </c>
    </row>
    <row r="32" spans="2:2" ht="15" customHeight="1" x14ac:dyDescent="0.2">
      <c r="B32" s="4" t="s">
        <v>256</v>
      </c>
    </row>
    <row r="33" spans="2:2" ht="15" customHeight="1" x14ac:dyDescent="0.2">
      <c r="B33" s="4" t="s">
        <v>268</v>
      </c>
    </row>
    <row r="34" spans="2:2" ht="15" customHeight="1" x14ac:dyDescent="0.2">
      <c r="B34" s="4" t="s">
        <v>9</v>
      </c>
    </row>
    <row r="35" spans="2:2" ht="15" customHeight="1" x14ac:dyDescent="0.2">
      <c r="B35" s="4" t="s">
        <v>10</v>
      </c>
    </row>
    <row r="36" spans="2:2" ht="15" customHeight="1" x14ac:dyDescent="0.2">
      <c r="B36" s="4" t="s">
        <v>269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9"/>
  <sheetViews>
    <sheetView showGridLines="0" zoomScaleNormal="100" workbookViewId="0"/>
  </sheetViews>
  <sheetFormatPr baseColWidth="10" defaultColWidth="8.6640625" defaultRowHeight="15" x14ac:dyDescent="0.2"/>
  <cols>
    <col min="1" max="1" width="36" customWidth="1"/>
    <col min="2" max="2" width="16" customWidth="1"/>
    <col min="3" max="3" width="14" customWidth="1"/>
    <col min="4" max="4" width="42" customWidth="1"/>
  </cols>
  <sheetData>
    <row r="1" spans="1:4" ht="18" customHeight="1" x14ac:dyDescent="0.2">
      <c r="A1" s="5" t="s">
        <v>11</v>
      </c>
    </row>
    <row r="2" spans="1:4" ht="15" customHeight="1" x14ac:dyDescent="0.2">
      <c r="A2" s="6"/>
    </row>
    <row r="4" spans="1:4" ht="15" customHeight="1" x14ac:dyDescent="0.2">
      <c r="A4" s="7" t="s">
        <v>12</v>
      </c>
      <c r="B4" s="7" t="s">
        <v>13</v>
      </c>
      <c r="C4" s="7" t="s">
        <v>14</v>
      </c>
      <c r="D4" s="7" t="s">
        <v>15</v>
      </c>
    </row>
    <row r="5" spans="1:4" ht="15" customHeight="1" x14ac:dyDescent="0.2">
      <c r="A5" s="8" t="s">
        <v>16</v>
      </c>
      <c r="B5" s="8"/>
      <c r="C5" s="8"/>
      <c r="D5" s="8"/>
    </row>
    <row r="6" spans="1:4" ht="15" customHeight="1" x14ac:dyDescent="0.2">
      <c r="A6" s="9" t="s">
        <v>17</v>
      </c>
      <c r="B6" s="10">
        <v>752</v>
      </c>
      <c r="C6" s="11" t="s">
        <v>18</v>
      </c>
      <c r="D6" s="12" t="s">
        <v>19</v>
      </c>
    </row>
    <row r="7" spans="1:4" ht="15" customHeight="1" x14ac:dyDescent="0.2">
      <c r="A7" s="9" t="s">
        <v>20</v>
      </c>
      <c r="B7" s="13">
        <v>0.5</v>
      </c>
      <c r="C7" s="11" t="s">
        <v>21</v>
      </c>
      <c r="D7" s="12" t="s">
        <v>22</v>
      </c>
    </row>
    <row r="8" spans="1:4" ht="15" customHeight="1" x14ac:dyDescent="0.2">
      <c r="A8" s="9" t="s">
        <v>23</v>
      </c>
      <c r="B8" s="13">
        <v>0</v>
      </c>
      <c r="C8" s="11" t="s">
        <v>21</v>
      </c>
      <c r="D8" s="12" t="s">
        <v>24</v>
      </c>
    </row>
    <row r="9" spans="1:4" ht="15" customHeight="1" x14ac:dyDescent="0.2">
      <c r="A9" s="9" t="s">
        <v>25</v>
      </c>
      <c r="B9" s="13">
        <v>0.1</v>
      </c>
      <c r="C9" s="11" t="s">
        <v>21</v>
      </c>
      <c r="D9" s="12" t="s">
        <v>26</v>
      </c>
    </row>
    <row r="10" spans="1:4" ht="15" customHeight="1" x14ac:dyDescent="0.2">
      <c r="A10" s="9" t="s">
        <v>27</v>
      </c>
      <c r="B10" s="14">
        <f>_xlfn.NORM.INV(0.1,B7,B7*B9)</f>
        <v>0.43592242172276996</v>
      </c>
      <c r="C10" s="11" t="s">
        <v>21</v>
      </c>
      <c r="D10" s="12" t="s">
        <v>28</v>
      </c>
    </row>
    <row r="11" spans="1:4" ht="15" customHeight="1" x14ac:dyDescent="0.2">
      <c r="A11" s="8" t="s">
        <v>29</v>
      </c>
      <c r="B11" s="8"/>
      <c r="C11" s="8"/>
      <c r="D11" s="8"/>
    </row>
    <row r="12" spans="1:4" ht="15" customHeight="1" x14ac:dyDescent="0.2">
      <c r="A12" s="9" t="s">
        <v>30</v>
      </c>
      <c r="B12" s="15">
        <v>1491</v>
      </c>
      <c r="C12" s="11" t="s">
        <v>31</v>
      </c>
      <c r="D12" s="12" t="s">
        <v>32</v>
      </c>
    </row>
    <row r="13" spans="1:4" ht="15" customHeight="1" x14ac:dyDescent="0.2">
      <c r="A13" s="9" t="s">
        <v>33</v>
      </c>
      <c r="B13" s="16">
        <f>B12*1000000</f>
        <v>1491000000</v>
      </c>
      <c r="C13" s="11" t="s">
        <v>34</v>
      </c>
      <c r="D13" s="12" t="s">
        <v>35</v>
      </c>
    </row>
    <row r="14" spans="1:4" ht="15" customHeight="1" x14ac:dyDescent="0.2">
      <c r="A14" s="9" t="s">
        <v>36</v>
      </c>
      <c r="B14" s="15">
        <v>42</v>
      </c>
      <c r="C14" s="11" t="s">
        <v>31</v>
      </c>
      <c r="D14" s="12" t="s">
        <v>22</v>
      </c>
    </row>
    <row r="15" spans="1:4" ht="15" customHeight="1" x14ac:dyDescent="0.2">
      <c r="A15" s="9" t="s">
        <v>37</v>
      </c>
      <c r="B15" s="13">
        <v>0.2</v>
      </c>
      <c r="C15" s="11" t="s">
        <v>21</v>
      </c>
      <c r="D15" s="12" t="s">
        <v>38</v>
      </c>
    </row>
    <row r="16" spans="1:4" ht="15" customHeight="1" x14ac:dyDescent="0.2">
      <c r="A16" s="8" t="s">
        <v>39</v>
      </c>
      <c r="B16" s="8"/>
      <c r="C16" s="8"/>
      <c r="D16" s="8"/>
    </row>
    <row r="17" spans="1:4" ht="15" customHeight="1" x14ac:dyDescent="0.2">
      <c r="A17" s="9" t="s">
        <v>40</v>
      </c>
      <c r="B17" s="17">
        <v>9.59</v>
      </c>
      <c r="C17" s="11" t="s">
        <v>41</v>
      </c>
      <c r="D17" s="12" t="s">
        <v>22</v>
      </c>
    </row>
    <row r="18" spans="1:4" ht="15" customHeight="1" x14ac:dyDescent="0.2">
      <c r="A18" s="9" t="s">
        <v>42</v>
      </c>
      <c r="B18" s="15">
        <v>40350</v>
      </c>
      <c r="C18" s="11" t="s">
        <v>43</v>
      </c>
      <c r="D18" s="12" t="s">
        <v>22</v>
      </c>
    </row>
    <row r="19" spans="1:4" ht="15" customHeight="1" x14ac:dyDescent="0.2">
      <c r="A19" s="9" t="s">
        <v>44</v>
      </c>
      <c r="B19" s="13">
        <v>0.02</v>
      </c>
      <c r="C19" s="11" t="s">
        <v>45</v>
      </c>
      <c r="D19" s="12" t="s">
        <v>46</v>
      </c>
    </row>
    <row r="20" spans="1:4" ht="15" customHeight="1" x14ac:dyDescent="0.2">
      <c r="A20" s="8" t="s">
        <v>47</v>
      </c>
      <c r="B20" s="8"/>
      <c r="C20" s="8"/>
      <c r="D20" s="8"/>
    </row>
    <row r="21" spans="1:4" ht="15" customHeight="1" x14ac:dyDescent="0.2">
      <c r="A21" s="9" t="s">
        <v>48</v>
      </c>
      <c r="B21" s="17">
        <v>72.7</v>
      </c>
      <c r="C21" s="11" t="s">
        <v>41</v>
      </c>
      <c r="D21" s="12" t="s">
        <v>49</v>
      </c>
    </row>
    <row r="22" spans="1:4" ht="15" customHeight="1" x14ac:dyDescent="0.2">
      <c r="A22" s="9" t="s">
        <v>50</v>
      </c>
      <c r="B22" s="17">
        <v>29</v>
      </c>
      <c r="C22" s="11" t="s">
        <v>41</v>
      </c>
      <c r="D22" s="12" t="s">
        <v>51</v>
      </c>
    </row>
    <row r="23" spans="1:4" ht="15" customHeight="1" x14ac:dyDescent="0.2">
      <c r="A23" s="9" t="s">
        <v>52</v>
      </c>
      <c r="B23" s="18">
        <v>15</v>
      </c>
      <c r="C23" s="11" t="s">
        <v>53</v>
      </c>
      <c r="D23" s="12" t="s">
        <v>54</v>
      </c>
    </row>
    <row r="24" spans="1:4" ht="15" customHeight="1" x14ac:dyDescent="0.2">
      <c r="A24" s="9" t="s">
        <v>55</v>
      </c>
      <c r="B24" s="17">
        <v>30</v>
      </c>
      <c r="C24" s="11" t="s">
        <v>41</v>
      </c>
      <c r="D24" s="12" t="s">
        <v>22</v>
      </c>
    </row>
    <row r="25" spans="1:4" ht="15" customHeight="1" x14ac:dyDescent="0.2">
      <c r="A25" s="9" t="s">
        <v>56</v>
      </c>
      <c r="B25" s="13">
        <v>-0.2</v>
      </c>
      <c r="C25" s="11" t="s">
        <v>21</v>
      </c>
      <c r="D25" s="12" t="s">
        <v>38</v>
      </c>
    </row>
    <row r="26" spans="1:4" ht="15" customHeight="1" x14ac:dyDescent="0.2">
      <c r="A26" s="8" t="s">
        <v>57</v>
      </c>
      <c r="B26" s="8"/>
      <c r="C26" s="8"/>
      <c r="D26" s="8"/>
    </row>
    <row r="27" spans="1:4" ht="15" customHeight="1" x14ac:dyDescent="0.2">
      <c r="A27" s="9" t="s">
        <v>58</v>
      </c>
      <c r="B27" s="19">
        <v>5.79E-3</v>
      </c>
      <c r="C27" s="11" t="s">
        <v>21</v>
      </c>
      <c r="D27" s="12" t="s">
        <v>59</v>
      </c>
    </row>
    <row r="28" spans="1:4" ht="15" customHeight="1" x14ac:dyDescent="0.2">
      <c r="A28" s="9" t="s">
        <v>60</v>
      </c>
      <c r="B28" s="20">
        <v>2.1999999999999999E-2</v>
      </c>
      <c r="C28" s="11" t="s">
        <v>21</v>
      </c>
      <c r="D28" s="12" t="s">
        <v>61</v>
      </c>
    </row>
    <row r="29" spans="1:4" ht="15" customHeight="1" x14ac:dyDescent="0.2">
      <c r="A29" s="9" t="s">
        <v>62</v>
      </c>
      <c r="B29" s="21">
        <f>B27+B28</f>
        <v>2.7789999999999999E-2</v>
      </c>
      <c r="C29" s="11" t="s">
        <v>21</v>
      </c>
      <c r="D29" s="12" t="s">
        <v>63</v>
      </c>
    </row>
    <row r="30" spans="1:4" ht="15" customHeight="1" x14ac:dyDescent="0.2">
      <c r="A30" s="9" t="s">
        <v>64</v>
      </c>
      <c r="B30" s="13">
        <v>0.7</v>
      </c>
      <c r="C30" s="11" t="s">
        <v>65</v>
      </c>
      <c r="D30" s="12" t="s">
        <v>66</v>
      </c>
    </row>
    <row r="31" spans="1:4" ht="15" customHeight="1" x14ac:dyDescent="0.2">
      <c r="A31" s="9" t="s">
        <v>67</v>
      </c>
      <c r="B31" s="18">
        <v>15</v>
      </c>
      <c r="C31" s="11" t="s">
        <v>53</v>
      </c>
      <c r="D31" s="12" t="s">
        <v>68</v>
      </c>
    </row>
    <row r="32" spans="1:4" ht="15" customHeight="1" x14ac:dyDescent="0.2">
      <c r="A32" s="9" t="s">
        <v>69</v>
      </c>
      <c r="B32" s="17">
        <v>1.3</v>
      </c>
      <c r="C32" s="11" t="s">
        <v>70</v>
      </c>
      <c r="D32" s="12" t="s">
        <v>71</v>
      </c>
    </row>
    <row r="33" spans="1:4" ht="15" customHeight="1" x14ac:dyDescent="0.2">
      <c r="A33" s="9" t="s">
        <v>72</v>
      </c>
      <c r="B33" s="17">
        <v>1.1000000000000001</v>
      </c>
      <c r="C33" s="11" t="s">
        <v>70</v>
      </c>
      <c r="D33" s="12" t="s">
        <v>73</v>
      </c>
    </row>
    <row r="34" spans="1:4" ht="15" customHeight="1" x14ac:dyDescent="0.2">
      <c r="A34" s="9" t="s">
        <v>74</v>
      </c>
      <c r="B34" s="17">
        <v>1.1499999999999999</v>
      </c>
      <c r="C34" s="11" t="s">
        <v>70</v>
      </c>
      <c r="D34" s="12" t="s">
        <v>73</v>
      </c>
    </row>
    <row r="35" spans="1:4" ht="15" customHeight="1" x14ac:dyDescent="0.2">
      <c r="A35" s="9" t="s">
        <v>75</v>
      </c>
      <c r="B35" s="17">
        <v>1.2</v>
      </c>
      <c r="C35" s="11" t="s">
        <v>70</v>
      </c>
      <c r="D35" s="12" t="s">
        <v>76</v>
      </c>
    </row>
    <row r="36" spans="1:4" ht="15" customHeight="1" x14ac:dyDescent="0.2">
      <c r="A36" s="9" t="s">
        <v>77</v>
      </c>
      <c r="B36" s="17">
        <v>1.4</v>
      </c>
      <c r="C36" s="11" t="s">
        <v>70</v>
      </c>
      <c r="D36" s="12" t="s">
        <v>78</v>
      </c>
    </row>
    <row r="37" spans="1:4" ht="15" customHeight="1" x14ac:dyDescent="0.2">
      <c r="A37" s="9" t="s">
        <v>79</v>
      </c>
      <c r="B37" s="13">
        <v>7.0000000000000007E-2</v>
      </c>
      <c r="C37" s="11" t="s">
        <v>21</v>
      </c>
      <c r="D37" s="12" t="s">
        <v>80</v>
      </c>
    </row>
    <row r="38" spans="1:4" ht="15" customHeight="1" x14ac:dyDescent="0.2">
      <c r="A38" s="9" t="s">
        <v>81</v>
      </c>
      <c r="B38" s="18">
        <v>6</v>
      </c>
      <c r="C38" s="11" t="s">
        <v>82</v>
      </c>
      <c r="D38" s="12" t="s">
        <v>83</v>
      </c>
    </row>
    <row r="39" spans="1:4" ht="15" customHeight="1" x14ac:dyDescent="0.2">
      <c r="A39" s="8" t="s">
        <v>84</v>
      </c>
      <c r="B39" s="8"/>
      <c r="C39" s="8"/>
      <c r="D39" s="8"/>
    </row>
    <row r="40" spans="1:4" ht="15" customHeight="1" x14ac:dyDescent="0.2">
      <c r="A40" s="9" t="s">
        <v>85</v>
      </c>
      <c r="B40" s="15">
        <v>200000</v>
      </c>
      <c r="C40" s="11" t="s">
        <v>34</v>
      </c>
      <c r="D40" s="12" t="s">
        <v>86</v>
      </c>
    </row>
    <row r="41" spans="1:4" ht="15" customHeight="1" x14ac:dyDescent="0.2">
      <c r="A41" s="9" t="s">
        <v>87</v>
      </c>
      <c r="B41" s="13">
        <v>0.19</v>
      </c>
      <c r="C41" s="11" t="s">
        <v>21</v>
      </c>
      <c r="D41" s="12" t="s">
        <v>86</v>
      </c>
    </row>
    <row r="42" spans="1:4" ht="15" customHeight="1" x14ac:dyDescent="0.2">
      <c r="A42" s="9" t="s">
        <v>88</v>
      </c>
      <c r="B42" s="13">
        <v>0.25800000000000001</v>
      </c>
      <c r="C42" s="11" t="s">
        <v>21</v>
      </c>
      <c r="D42" s="12" t="s">
        <v>86</v>
      </c>
    </row>
    <row r="43" spans="1:4" ht="15" customHeight="1" x14ac:dyDescent="0.2">
      <c r="A43" s="9" t="s">
        <v>89</v>
      </c>
      <c r="B43" s="15">
        <v>1000000</v>
      </c>
      <c r="C43" s="11" t="s">
        <v>34</v>
      </c>
      <c r="D43" s="12" t="s">
        <v>90</v>
      </c>
    </row>
    <row r="44" spans="1:4" ht="15" customHeight="1" x14ac:dyDescent="0.2">
      <c r="A44" s="9" t="s">
        <v>91</v>
      </c>
      <c r="B44" s="13">
        <v>0.3</v>
      </c>
      <c r="C44" s="11" t="s">
        <v>92</v>
      </c>
      <c r="D44" s="12" t="s">
        <v>93</v>
      </c>
    </row>
    <row r="45" spans="1:4" ht="15" customHeight="1" x14ac:dyDescent="0.2">
      <c r="A45" s="9" t="s">
        <v>94</v>
      </c>
      <c r="B45" s="13">
        <v>0.2</v>
      </c>
      <c r="C45" s="11" t="s">
        <v>92</v>
      </c>
      <c r="D45" s="12" t="s">
        <v>93</v>
      </c>
    </row>
    <row r="46" spans="1:4" ht="15" customHeight="1" x14ac:dyDescent="0.2">
      <c r="A46" s="9" t="s">
        <v>95</v>
      </c>
      <c r="B46" s="13">
        <v>0.245</v>
      </c>
      <c r="C46" s="11" t="s">
        <v>92</v>
      </c>
      <c r="D46" s="12" t="s">
        <v>93</v>
      </c>
    </row>
    <row r="47" spans="1:4" ht="15" customHeight="1" x14ac:dyDescent="0.2">
      <c r="A47" s="8" t="s">
        <v>270</v>
      </c>
      <c r="B47" s="8"/>
      <c r="C47" s="8"/>
      <c r="D47" s="8"/>
    </row>
    <row r="48" spans="1:4" ht="15" customHeight="1" x14ac:dyDescent="0.2">
      <c r="A48" s="9" t="s">
        <v>96</v>
      </c>
      <c r="B48" s="20">
        <v>2.7E-2</v>
      </c>
      <c r="C48" s="11" t="s">
        <v>21</v>
      </c>
      <c r="D48" s="12" t="s">
        <v>97</v>
      </c>
    </row>
    <row r="49" spans="1:4" ht="15" customHeight="1" x14ac:dyDescent="0.2">
      <c r="A49" s="9" t="s">
        <v>98</v>
      </c>
      <c r="B49" s="20">
        <v>3.3700000000000001E-2</v>
      </c>
      <c r="C49" s="11" t="s">
        <v>21</v>
      </c>
      <c r="D49" s="12" t="s">
        <v>99</v>
      </c>
    </row>
    <row r="50" spans="1:4" ht="15" customHeight="1" x14ac:dyDescent="0.2">
      <c r="A50" s="9" t="s">
        <v>100</v>
      </c>
      <c r="B50" s="20">
        <v>3.44E-2</v>
      </c>
      <c r="C50" s="11" t="s">
        <v>21</v>
      </c>
      <c r="D50" s="12" t="s">
        <v>101</v>
      </c>
    </row>
    <row r="51" spans="1:4" ht="15" customHeight="1" x14ac:dyDescent="0.2">
      <c r="A51" s="9" t="s">
        <v>102</v>
      </c>
      <c r="B51" s="20">
        <v>2.2499999999999999E-2</v>
      </c>
      <c r="C51" s="11" t="s">
        <v>21</v>
      </c>
      <c r="D51" s="12" t="s">
        <v>103</v>
      </c>
    </row>
    <row r="52" spans="1:4" ht="15" customHeight="1" x14ac:dyDescent="0.2">
      <c r="A52" s="9" t="s">
        <v>104</v>
      </c>
      <c r="B52" s="20">
        <v>3.5000000000000003E-2</v>
      </c>
      <c r="C52" s="11" t="s">
        <v>21</v>
      </c>
      <c r="D52" s="12" t="s">
        <v>105</v>
      </c>
    </row>
    <row r="53" spans="1:4" ht="15" customHeight="1" x14ac:dyDescent="0.2">
      <c r="A53" s="9" t="s">
        <v>106</v>
      </c>
      <c r="B53" s="20">
        <v>4.4999999999999998E-2</v>
      </c>
      <c r="C53" s="11" t="s">
        <v>21</v>
      </c>
      <c r="D53" s="12" t="s">
        <v>107</v>
      </c>
    </row>
    <row r="54" spans="1:4" ht="15" customHeight="1" x14ac:dyDescent="0.2">
      <c r="A54" s="9" t="s">
        <v>108</v>
      </c>
      <c r="B54" s="21">
        <f>B48+B51</f>
        <v>4.9500000000000002E-2</v>
      </c>
      <c r="C54" s="11" t="s">
        <v>21</v>
      </c>
      <c r="D54" s="12"/>
    </row>
    <row r="55" spans="1:4" ht="15" customHeight="1" x14ac:dyDescent="0.2">
      <c r="A55" s="9" t="s">
        <v>109</v>
      </c>
      <c r="B55" s="21">
        <f>B49+B52</f>
        <v>6.8700000000000011E-2</v>
      </c>
      <c r="C55" s="11" t="s">
        <v>21</v>
      </c>
      <c r="D55" s="12"/>
    </row>
    <row r="56" spans="1:4" ht="15" customHeight="1" x14ac:dyDescent="0.2">
      <c r="A56" s="9" t="s">
        <v>110</v>
      </c>
      <c r="B56" s="21">
        <f>B50+B53</f>
        <v>7.9399999999999998E-2</v>
      </c>
      <c r="C56" s="11" t="s">
        <v>21</v>
      </c>
      <c r="D56" s="12"/>
    </row>
    <row r="57" spans="1:4" ht="15" customHeight="1" x14ac:dyDescent="0.2">
      <c r="A57" s="8" t="s">
        <v>111</v>
      </c>
      <c r="B57" s="8"/>
      <c r="C57" s="8"/>
      <c r="D57" s="8"/>
    </row>
    <row r="58" spans="1:4" ht="15" customHeight="1" x14ac:dyDescent="0.2">
      <c r="A58" s="9" t="s">
        <v>112</v>
      </c>
      <c r="B58" s="18">
        <v>2021</v>
      </c>
      <c r="C58" s="11" t="s">
        <v>113</v>
      </c>
      <c r="D58" s="12" t="s">
        <v>114</v>
      </c>
    </row>
    <row r="59" spans="1:4" ht="15" customHeight="1" x14ac:dyDescent="0.2">
      <c r="A59" s="9" t="s">
        <v>115</v>
      </c>
      <c r="B59" s="18">
        <v>25</v>
      </c>
      <c r="C59" s="11" t="s">
        <v>53</v>
      </c>
      <c r="D59" s="12" t="s">
        <v>22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31"/>
  <sheetViews>
    <sheetView showGridLines="0" zoomScale="107" zoomScaleNormal="100" workbookViewId="0"/>
  </sheetViews>
  <sheetFormatPr baseColWidth="10" defaultColWidth="8.6640625" defaultRowHeight="15" x14ac:dyDescent="0.2"/>
  <cols>
    <col min="1" max="1" width="34" customWidth="1"/>
    <col min="2" max="2" width="18" customWidth="1"/>
    <col min="3" max="3" width="44" customWidth="1"/>
    <col min="4" max="16" width="10.5" bestFit="1" customWidth="1"/>
  </cols>
  <sheetData>
    <row r="1" spans="1:16" ht="18" customHeight="1" x14ac:dyDescent="0.2">
      <c r="A1" s="5" t="s">
        <v>116</v>
      </c>
    </row>
    <row r="2" spans="1:16" ht="15" customHeight="1" x14ac:dyDescent="0.2">
      <c r="A2" s="6"/>
    </row>
    <row r="4" spans="1:16" ht="15" customHeight="1" x14ac:dyDescent="0.2">
      <c r="A4" s="7" t="s">
        <v>117</v>
      </c>
      <c r="B4" s="7" t="s">
        <v>13</v>
      </c>
      <c r="C4" s="7" t="s">
        <v>118</v>
      </c>
    </row>
    <row r="5" spans="1:16" ht="15" customHeight="1" x14ac:dyDescent="0.2">
      <c r="A5" s="8" t="s">
        <v>119</v>
      </c>
      <c r="B5" s="8"/>
      <c r="C5" s="8"/>
    </row>
    <row r="6" spans="1:16" ht="15" customHeight="1" x14ac:dyDescent="0.2">
      <c r="A6" s="9" t="s">
        <v>120</v>
      </c>
      <c r="B6" s="16">
        <f>Assumptions!$B$6*Assumptions!$B$7*8760</f>
        <v>3293760</v>
      </c>
    </row>
    <row r="7" spans="1:16" ht="15" customHeight="1" x14ac:dyDescent="0.2">
      <c r="A7" s="9" t="s">
        <v>121</v>
      </c>
      <c r="B7" s="16">
        <f>Assumptions!$B$13/Assumptions!$B$59</f>
        <v>59640000</v>
      </c>
    </row>
    <row r="8" spans="1:16" ht="15" customHeight="1" x14ac:dyDescent="0.2">
      <c r="A8" s="8" t="s">
        <v>122</v>
      </c>
      <c r="B8" s="8"/>
      <c r="C8" s="8"/>
    </row>
    <row r="9" spans="1:16" ht="15" customHeight="1" x14ac:dyDescent="0.2">
      <c r="A9" s="22" t="s">
        <v>123</v>
      </c>
      <c r="B9" s="23">
        <v>1</v>
      </c>
      <c r="C9" s="23">
        <v>2</v>
      </c>
      <c r="D9" s="23">
        <v>3</v>
      </c>
      <c r="E9" s="23">
        <v>4</v>
      </c>
      <c r="F9" s="23">
        <v>5</v>
      </c>
      <c r="G9" s="23">
        <v>6</v>
      </c>
      <c r="H9" s="23">
        <v>7</v>
      </c>
      <c r="I9" s="23">
        <v>8</v>
      </c>
      <c r="J9" s="23">
        <v>9</v>
      </c>
      <c r="K9" s="23">
        <v>10</v>
      </c>
      <c r="L9" s="23">
        <v>11</v>
      </c>
      <c r="M9" s="23">
        <v>12</v>
      </c>
      <c r="N9" s="23">
        <v>13</v>
      </c>
      <c r="O9" s="23">
        <v>14</v>
      </c>
      <c r="P9" s="23">
        <v>15</v>
      </c>
    </row>
    <row r="10" spans="1:16" ht="15" customHeight="1" x14ac:dyDescent="0.2">
      <c r="A10" s="24" t="s">
        <v>124</v>
      </c>
      <c r="B10" s="25">
        <f>$B$6*(1-Assumptions!$B$8)^(B$9-1)</f>
        <v>3293760</v>
      </c>
      <c r="C10" s="25">
        <f>$B$6*(1-Assumptions!$B$8)^(C$9-1)</f>
        <v>3293760</v>
      </c>
      <c r="D10" s="25">
        <f>$B$6*(1-Assumptions!$B$8)^(D$9-1)</f>
        <v>3293760</v>
      </c>
      <c r="E10" s="25">
        <f>$B$6*(1-Assumptions!$B$8)^(E$9-1)</f>
        <v>3293760</v>
      </c>
      <c r="F10" s="25">
        <f>$B$6*(1-Assumptions!$B$8)^(F$9-1)</f>
        <v>3293760</v>
      </c>
      <c r="G10" s="25">
        <f>$B$6*(1-Assumptions!$B$8)^(G$9-1)</f>
        <v>3293760</v>
      </c>
      <c r="H10" s="25">
        <f>$B$6*(1-Assumptions!$B$8)^(H$9-1)</f>
        <v>3293760</v>
      </c>
      <c r="I10" s="25">
        <f>$B$6*(1-Assumptions!$B$8)^(I$9-1)</f>
        <v>3293760</v>
      </c>
      <c r="J10" s="25">
        <f>$B$6*(1-Assumptions!$B$8)^(J$9-1)</f>
        <v>3293760</v>
      </c>
      <c r="K10" s="25">
        <f>$B$6*(1-Assumptions!$B$8)^(K$9-1)</f>
        <v>3293760</v>
      </c>
      <c r="L10" s="25">
        <f>$B$6*(1-Assumptions!$B$8)^(L$9-1)</f>
        <v>3293760</v>
      </c>
      <c r="M10" s="25">
        <f>$B$6*(1-Assumptions!$B$8)^(M$9-1)</f>
        <v>3293760</v>
      </c>
      <c r="N10" s="25">
        <f>$B$6*(1-Assumptions!$B$8)^(N$9-1)</f>
        <v>3293760</v>
      </c>
      <c r="O10" s="25">
        <f>$B$6*(1-Assumptions!$B$8)^(O$9-1)</f>
        <v>3293760</v>
      </c>
      <c r="P10" s="25">
        <f>$B$6*(1-Assumptions!$B$8)^(P$9-1)</f>
        <v>3293760</v>
      </c>
    </row>
    <row r="11" spans="1:16" ht="15" customHeight="1" x14ac:dyDescent="0.2">
      <c r="A11" s="24" t="s">
        <v>125</v>
      </c>
      <c r="B11" s="25">
        <f>B$10*Assumptions!$B$21</f>
        <v>239456352</v>
      </c>
      <c r="C11" s="25">
        <f>C$10*Assumptions!$B$21</f>
        <v>239456352</v>
      </c>
      <c r="D11" s="25">
        <f>D$10*Assumptions!$B$21</f>
        <v>239456352</v>
      </c>
      <c r="E11" s="25">
        <f>E$10*Assumptions!$B$21</f>
        <v>239456352</v>
      </c>
      <c r="F11" s="25">
        <f>F$10*Assumptions!$B$21</f>
        <v>239456352</v>
      </c>
      <c r="G11" s="25">
        <f>G$10*Assumptions!$B$21</f>
        <v>239456352</v>
      </c>
      <c r="H11" s="25">
        <f>H$10*Assumptions!$B$21</f>
        <v>239456352</v>
      </c>
      <c r="I11" s="25">
        <f>I$10*Assumptions!$B$21</f>
        <v>239456352</v>
      </c>
      <c r="J11" s="25">
        <f>J$10*Assumptions!$B$21</f>
        <v>239456352</v>
      </c>
      <c r="K11" s="25">
        <f>K$10*Assumptions!$B$21</f>
        <v>239456352</v>
      </c>
      <c r="L11" s="25">
        <f>L$10*Assumptions!$B$21</f>
        <v>239456352</v>
      </c>
      <c r="M11" s="25">
        <f>M$10*Assumptions!$B$21</f>
        <v>239456352</v>
      </c>
      <c r="N11" s="25">
        <f>N$10*Assumptions!$B$21</f>
        <v>239456352</v>
      </c>
      <c r="O11" s="25">
        <f>O$10*Assumptions!$B$21</f>
        <v>239456352</v>
      </c>
      <c r="P11" s="25">
        <f>P$10*Assumptions!$B$21</f>
        <v>239456352</v>
      </c>
    </row>
    <row r="12" spans="1:16" ht="15" customHeight="1" x14ac:dyDescent="0.2">
      <c r="A12" s="24" t="s">
        <v>126</v>
      </c>
      <c r="B12" s="25">
        <f>(Assumptions!$B$17*(1+Assumptions!$B$19)^(B$9-1)*B$10)+(Assumptions!$B$18*(1+Assumptions!$B$19)^(B$9-1)*Assumptions!$B$6)</f>
        <v>61930358.399999999</v>
      </c>
      <c r="C12" s="25">
        <f>(Assumptions!$B$17*(1+Assumptions!$B$19)^(C$9-1)*C$10)+(Assumptions!$B$18*(1+Assumptions!$B$19)^(C$9-1)*Assumptions!$B$6)</f>
        <v>63168965.568000004</v>
      </c>
      <c r="D12" s="25">
        <f>(Assumptions!$B$17*(1+Assumptions!$B$19)^(D$9-1)*D$10)+(Assumptions!$B$18*(1+Assumptions!$B$19)^(D$9-1)*Assumptions!$B$6)</f>
        <v>64432344.879359998</v>
      </c>
      <c r="E12" s="25">
        <f>(Assumptions!$B$17*(1+Assumptions!$B$19)^(E$9-1)*E$10)+(Assumptions!$B$18*(1+Assumptions!$B$19)^(E$9-1)*Assumptions!$B$6)</f>
        <v>65720991.776947193</v>
      </c>
      <c r="F12" s="25">
        <f>(Assumptions!$B$17*(1+Assumptions!$B$19)^(F$9-1)*F$10)+(Assumptions!$B$18*(1+Assumptions!$B$19)^(F$9-1)*Assumptions!$B$6)</f>
        <v>67035411.612486139</v>
      </c>
      <c r="G12" s="25">
        <f>(Assumptions!$B$17*(1+Assumptions!$B$19)^(G$9-1)*G$10)+(Assumptions!$B$18*(1+Assumptions!$B$19)^(G$9-1)*Assumptions!$B$6)</f>
        <v>68376119.844735861</v>
      </c>
      <c r="H12" s="25">
        <f>(Assumptions!$B$17*(1+Assumptions!$B$19)^(H$9-1)*H$10)+(Assumptions!$B$18*(1+Assumptions!$B$19)^(H$9-1)*Assumptions!$B$6)</f>
        <v>69743642.241630584</v>
      </c>
      <c r="I12" s="25">
        <f>(Assumptions!$B$17*(1+Assumptions!$B$19)^(I$9-1)*I$10)+(Assumptions!$B$18*(1+Assumptions!$B$19)^(I$9-1)*Assumptions!$B$6)</f>
        <v>71138515.086463183</v>
      </c>
      <c r="J12" s="25">
        <f>(Assumptions!$B$17*(1+Assumptions!$B$19)^(J$9-1)*J$10)+(Assumptions!$B$18*(1+Assumptions!$B$19)^(J$9-1)*Assumptions!$B$6)</f>
        <v>72561285.38819246</v>
      </c>
      <c r="K12" s="25">
        <f>(Assumptions!$B$17*(1+Assumptions!$B$19)^(K$9-1)*K$10)+(Assumptions!$B$18*(1+Assumptions!$B$19)^(K$9-1)*Assumptions!$B$6)</f>
        <v>74012511.095956296</v>
      </c>
      <c r="L12" s="25">
        <f>(Assumptions!$B$17*(1+Assumptions!$B$19)^(L$9-1)*L$10)+(Assumptions!$B$18*(1+Assumptions!$B$19)^(L$9-1)*Assumptions!$B$6)</f>
        <v>75492761.317875415</v>
      </c>
      <c r="M12" s="25">
        <f>(Assumptions!$B$17*(1+Assumptions!$B$19)^(M$9-1)*M$10)+(Assumptions!$B$18*(1+Assumptions!$B$19)^(M$9-1)*Assumptions!$B$6)</f>
        <v>77002616.544232935</v>
      </c>
      <c r="N12" s="25">
        <f>(Assumptions!$B$17*(1+Assumptions!$B$19)^(N$9-1)*N$10)+(Assumptions!$B$18*(1+Assumptions!$B$19)^(N$9-1)*Assumptions!$B$6)</f>
        <v>78542668.8751176</v>
      </c>
      <c r="O12" s="25">
        <f>(Assumptions!$B$17*(1+Assumptions!$B$19)^(O$9-1)*O$10)+(Assumptions!$B$18*(1+Assumptions!$B$19)^(O$9-1)*Assumptions!$B$6)</f>
        <v>80113522.252619952</v>
      </c>
      <c r="P12" s="25">
        <f>(Assumptions!$B$17*(1+Assumptions!$B$19)^(P$9-1)*P$10)+(Assumptions!$B$18*(1+Assumptions!$B$19)^(P$9-1)*Assumptions!$B$6)</f>
        <v>81715792.697672352</v>
      </c>
    </row>
    <row r="13" spans="1:16" ht="15" customHeight="1" x14ac:dyDescent="0.2">
      <c r="A13" s="24" t="s">
        <v>127</v>
      </c>
      <c r="B13" s="25">
        <f t="shared" ref="B13:P13" si="0">B$11-B$12</f>
        <v>177525993.59999999</v>
      </c>
      <c r="C13" s="25">
        <f t="shared" si="0"/>
        <v>176287386.43199998</v>
      </c>
      <c r="D13" s="25">
        <f t="shared" si="0"/>
        <v>175024007.12064001</v>
      </c>
      <c r="E13" s="25">
        <f t="shared" si="0"/>
        <v>173735360.2230528</v>
      </c>
      <c r="F13" s="25">
        <f t="shared" si="0"/>
        <v>172420940.38751388</v>
      </c>
      <c r="G13" s="25">
        <f t="shared" si="0"/>
        <v>171080232.15526414</v>
      </c>
      <c r="H13" s="25">
        <f t="shared" si="0"/>
        <v>169712709.75836942</v>
      </c>
      <c r="I13" s="25">
        <f t="shared" si="0"/>
        <v>168317836.91353682</v>
      </c>
      <c r="J13" s="25">
        <f t="shared" si="0"/>
        <v>166895066.61180753</v>
      </c>
      <c r="K13" s="25">
        <f t="shared" si="0"/>
        <v>165443840.9040437</v>
      </c>
      <c r="L13" s="25">
        <f t="shared" si="0"/>
        <v>163963590.68212458</v>
      </c>
      <c r="M13" s="25">
        <f t="shared" si="0"/>
        <v>162453735.45576707</v>
      </c>
      <c r="N13" s="25">
        <f t="shared" si="0"/>
        <v>160913683.1248824</v>
      </c>
      <c r="O13" s="25">
        <f t="shared" si="0"/>
        <v>159342829.74738005</v>
      </c>
      <c r="P13" s="25">
        <f t="shared" si="0"/>
        <v>157740559.30232763</v>
      </c>
    </row>
    <row r="14" spans="1:16" ht="15" customHeight="1" x14ac:dyDescent="0.2">
      <c r="A14" s="24" t="s">
        <v>128</v>
      </c>
      <c r="B14" s="25">
        <f t="shared" ref="B14:P14" si="1">B$13-$B$7</f>
        <v>117885993.59999999</v>
      </c>
      <c r="C14" s="25">
        <f t="shared" si="1"/>
        <v>116647386.43199998</v>
      </c>
      <c r="D14" s="25">
        <f t="shared" si="1"/>
        <v>115384007.12064001</v>
      </c>
      <c r="E14" s="25">
        <f t="shared" si="1"/>
        <v>114095360.2230528</v>
      </c>
      <c r="F14" s="25">
        <f t="shared" si="1"/>
        <v>112780940.38751388</v>
      </c>
      <c r="G14" s="25">
        <f t="shared" si="1"/>
        <v>111440232.15526414</v>
      </c>
      <c r="H14" s="25">
        <f t="shared" si="1"/>
        <v>110072709.75836942</v>
      </c>
      <c r="I14" s="25">
        <f t="shared" si="1"/>
        <v>108677836.91353682</v>
      </c>
      <c r="J14" s="25">
        <f t="shared" si="1"/>
        <v>107255066.61180753</v>
      </c>
      <c r="K14" s="25">
        <f t="shared" si="1"/>
        <v>105803840.9040437</v>
      </c>
      <c r="L14" s="25">
        <f t="shared" si="1"/>
        <v>104323590.68212458</v>
      </c>
      <c r="M14" s="25">
        <f t="shared" si="1"/>
        <v>102813735.45576707</v>
      </c>
      <c r="N14" s="25">
        <f t="shared" si="1"/>
        <v>101273683.1248824</v>
      </c>
      <c r="O14" s="25">
        <f t="shared" si="1"/>
        <v>99702829.747380048</v>
      </c>
      <c r="P14" s="25">
        <f t="shared" si="1"/>
        <v>98100559.302327633</v>
      </c>
    </row>
    <row r="15" spans="1:16" ht="15" customHeight="1" x14ac:dyDescent="0.2">
      <c r="A15" s="24" t="s">
        <v>129</v>
      </c>
      <c r="B15" s="25">
        <f>IF(B$14&lt;=0,0,IF(B$14&lt;=Assumptions!$B$40,B$14*Assumptions!$B$41,Assumptions!$B$40*Assumptions!$B$41+(B$14-Assumptions!$B$40)*Assumptions!$B$42))</f>
        <v>30400986.3488</v>
      </c>
      <c r="C15" s="25">
        <f>IF(C$14&lt;=0,0,IF(C$14&lt;=Assumptions!$B$40,C$14*Assumptions!$B$41,Assumptions!$B$40*Assumptions!$B$41+(C$14-Assumptions!$B$40)*Assumptions!$B$42))</f>
        <v>30081425.699455995</v>
      </c>
      <c r="D15" s="25">
        <f>IF(D$14&lt;=0,0,IF(D$14&lt;=Assumptions!$B$40,D$14*Assumptions!$B$41,Assumptions!$B$40*Assumptions!$B$41+(D$14-Assumptions!$B$40)*Assumptions!$B$42))</f>
        <v>29755473.837125123</v>
      </c>
      <c r="E15" s="25">
        <f>IF(E$14&lt;=0,0,IF(E$14&lt;=Assumptions!$B$40,E$14*Assumptions!$B$41,Assumptions!$B$40*Assumptions!$B$41+(E$14-Assumptions!$B$40)*Assumptions!$B$42))</f>
        <v>29423002.937547624</v>
      </c>
      <c r="F15" s="25">
        <f>IF(F$14&lt;=0,0,IF(F$14&lt;=Assumptions!$B$40,F$14*Assumptions!$B$41,Assumptions!$B$40*Assumptions!$B$41+(F$14-Assumptions!$B$40)*Assumptions!$B$42))</f>
        <v>29083882.619978581</v>
      </c>
      <c r="G15" s="25">
        <f>IF(G$14&lt;=0,0,IF(G$14&lt;=Assumptions!$B$40,G$14*Assumptions!$B$41,Assumptions!$B$40*Assumptions!$B$41+(G$14-Assumptions!$B$40)*Assumptions!$B$42))</f>
        <v>28737979.89605815</v>
      </c>
      <c r="H15" s="25">
        <f>IF(H$14&lt;=0,0,IF(H$14&lt;=Assumptions!$B$40,H$14*Assumptions!$B$41,Assumptions!$B$40*Assumptions!$B$41+(H$14-Assumptions!$B$40)*Assumptions!$B$42))</f>
        <v>28385159.117659312</v>
      </c>
      <c r="I15" s="25">
        <f>IF(I$14&lt;=0,0,IF(I$14&lt;=Assumptions!$B$40,I$14*Assumptions!$B$41,Assumptions!$B$40*Assumptions!$B$41+(I$14-Assumptions!$B$40)*Assumptions!$B$42))</f>
        <v>28025281.923692498</v>
      </c>
      <c r="J15" s="25">
        <f>IF(J$14&lt;=0,0,IF(J$14&lt;=Assumptions!$B$40,J$14*Assumptions!$B$41,Assumptions!$B$40*Assumptions!$B$41+(J$14-Assumptions!$B$40)*Assumptions!$B$42))</f>
        <v>27658207.185846344</v>
      </c>
      <c r="K15" s="25">
        <f>IF(K$14&lt;=0,0,IF(K$14&lt;=Assumptions!$B$40,K$14*Assumptions!$B$41,Assumptions!$B$40*Assumptions!$B$41+(K$14-Assumptions!$B$40)*Assumptions!$B$42))</f>
        <v>27283790.953243278</v>
      </c>
      <c r="L15" s="25">
        <f>IF(L$14&lt;=0,0,IF(L$14&lt;=Assumptions!$B$40,L$14*Assumptions!$B$41,Assumptions!$B$40*Assumptions!$B$41+(L$14-Assumptions!$B$40)*Assumptions!$B$42))</f>
        <v>26901886.395988144</v>
      </c>
      <c r="M15" s="25">
        <f>IF(M$14&lt;=0,0,IF(M$14&lt;=Assumptions!$B$40,M$14*Assumptions!$B$41,Assumptions!$B$40*Assumptions!$B$41+(M$14-Assumptions!$B$40)*Assumptions!$B$42))</f>
        <v>26512343.747587904</v>
      </c>
      <c r="N15" s="25">
        <f>IF(N$14&lt;=0,0,IF(N$14&lt;=Assumptions!$B$40,N$14*Assumptions!$B$41,Assumptions!$B$40*Assumptions!$B$41+(N$14-Assumptions!$B$40)*Assumptions!$B$42))</f>
        <v>26115010.246219661</v>
      </c>
      <c r="O15" s="25">
        <f>IF(O$14&lt;=0,0,IF(O$14&lt;=Assumptions!$B$40,O$14*Assumptions!$B$41,Assumptions!$B$40*Assumptions!$B$41+(O$14-Assumptions!$B$40)*Assumptions!$B$42))</f>
        <v>25709730.074824054</v>
      </c>
      <c r="P15" s="25">
        <f>IF(P$14&lt;=0,0,IF(P$14&lt;=Assumptions!$B$40,P$14*Assumptions!$B$41,Assumptions!$B$40*Assumptions!$B$41+(P$14-Assumptions!$B$40)*Assumptions!$B$42))</f>
        <v>25296344.30000053</v>
      </c>
    </row>
    <row r="16" spans="1:16" ht="15" customHeight="1" x14ac:dyDescent="0.2">
      <c r="A16" s="24" t="s">
        <v>130</v>
      </c>
      <c r="B16" s="25">
        <f t="shared" ref="B16:P16" si="2">B$13-B$15</f>
        <v>147125007.25119999</v>
      </c>
      <c r="C16" s="25">
        <f t="shared" si="2"/>
        <v>146205960.73254398</v>
      </c>
      <c r="D16" s="25">
        <f t="shared" si="2"/>
        <v>145268533.28351489</v>
      </c>
      <c r="E16" s="25">
        <f t="shared" si="2"/>
        <v>144312357.28550518</v>
      </c>
      <c r="F16" s="25">
        <f t="shared" si="2"/>
        <v>143337057.7675353</v>
      </c>
      <c r="G16" s="25">
        <f t="shared" si="2"/>
        <v>142342252.259206</v>
      </c>
      <c r="H16" s="25">
        <f t="shared" si="2"/>
        <v>141327550.64071012</v>
      </c>
      <c r="I16" s="25">
        <f t="shared" si="2"/>
        <v>140292554.98984432</v>
      </c>
      <c r="J16" s="25">
        <f t="shared" si="2"/>
        <v>139236859.4259612</v>
      </c>
      <c r="K16" s="25">
        <f t="shared" si="2"/>
        <v>138160049.95080042</v>
      </c>
      <c r="L16" s="25">
        <f t="shared" si="2"/>
        <v>137061704.28613645</v>
      </c>
      <c r="M16" s="25">
        <f t="shared" si="2"/>
        <v>135941391.70817918</v>
      </c>
      <c r="N16" s="25">
        <f t="shared" si="2"/>
        <v>134798672.87866274</v>
      </c>
      <c r="O16" s="25">
        <f t="shared" si="2"/>
        <v>133633099.672556</v>
      </c>
      <c r="P16" s="25">
        <f t="shared" si="2"/>
        <v>132444215.0023271</v>
      </c>
    </row>
    <row r="17" spans="1:16" ht="15" customHeight="1" x14ac:dyDescent="0.2">
      <c r="A17" s="22" t="s">
        <v>131</v>
      </c>
      <c r="B17" s="26">
        <f>B$16/Assumptions!$B$32</f>
        <v>113173082.50092307</v>
      </c>
      <c r="C17" s="26">
        <f>C$16/Assumptions!$B$32</f>
        <v>112466123.64041844</v>
      </c>
      <c r="D17" s="26">
        <f>D$16/Assumptions!$B$32</f>
        <v>111745025.60270375</v>
      </c>
      <c r="E17" s="26">
        <f>E$16/Assumptions!$B$32</f>
        <v>111009505.60423474</v>
      </c>
      <c r="F17" s="26">
        <f>F$16/Assumptions!$B$32</f>
        <v>110259275.20579638</v>
      </c>
      <c r="G17" s="26">
        <f>G$16/Assumptions!$B$32</f>
        <v>109494040.19938922</v>
      </c>
      <c r="H17" s="26">
        <f>H$16/Assumptions!$B$32</f>
        <v>108713500.49285392</v>
      </c>
      <c r="I17" s="26">
        <f>I$16/Assumptions!$B$32</f>
        <v>107917349.99218793</v>
      </c>
      <c r="J17" s="26">
        <f>J$16/Assumptions!$B$32</f>
        <v>107105276.48150861</v>
      </c>
      <c r="K17" s="26">
        <f>K$16/Assumptions!$B$32</f>
        <v>106276961.5006157</v>
      </c>
      <c r="L17" s="26">
        <f>L$16/Assumptions!$B$32</f>
        <v>105432080.22010496</v>
      </c>
      <c r="M17" s="26">
        <f>M$16/Assumptions!$B$32</f>
        <v>104570301.31398398</v>
      </c>
      <c r="N17" s="26">
        <f>N$16/Assumptions!$B$32</f>
        <v>103691286.82974057</v>
      </c>
      <c r="O17" s="26">
        <f>O$16/Assumptions!$B$32</f>
        <v>102794692.0558123</v>
      </c>
      <c r="P17" s="26">
        <f>P$16/Assumptions!$B$32</f>
        <v>101880165.38640545</v>
      </c>
    </row>
    <row r="19" spans="1:16" ht="15" customHeight="1" x14ac:dyDescent="0.2">
      <c r="A19" s="8" t="s">
        <v>132</v>
      </c>
      <c r="B19" s="8"/>
      <c r="C19" s="8"/>
    </row>
    <row r="20" spans="1:16" ht="15" customHeight="1" x14ac:dyDescent="0.2">
      <c r="A20" s="9" t="s">
        <v>133</v>
      </c>
      <c r="B20" s="16">
        <f>NPV(Assumptions!$B$29,B$17:P$17)</f>
        <v>1312320776.094835</v>
      </c>
      <c r="C20" s="27" t="s">
        <v>134</v>
      </c>
    </row>
    <row r="21" spans="1:16" ht="15" customHeight="1" x14ac:dyDescent="0.2">
      <c r="A21" s="9" t="s">
        <v>135</v>
      </c>
      <c r="B21" s="16">
        <f>Assumptions!$B$30*Assumptions!$B$13</f>
        <v>1043699999.9999999</v>
      </c>
      <c r="C21" s="27" t="s">
        <v>136</v>
      </c>
    </row>
    <row r="22" spans="1:16" ht="15" customHeight="1" x14ac:dyDescent="0.2">
      <c r="A22" s="9" t="s">
        <v>137</v>
      </c>
      <c r="B22" s="16">
        <f>NPV(Assumptions!$B$37,B$16:P$16)/Assumptions!$B$36</f>
        <v>919857405.80435824</v>
      </c>
      <c r="C22" s="27" t="s">
        <v>138</v>
      </c>
    </row>
    <row r="23" spans="1:16" ht="15" customHeight="1" x14ac:dyDescent="0.2">
      <c r="A23" s="28" t="s">
        <v>139</v>
      </c>
      <c r="B23" s="29">
        <f>MIN(B20,B21,B22)</f>
        <v>919857405.80435824</v>
      </c>
      <c r="C23" s="27" t="s">
        <v>271</v>
      </c>
    </row>
    <row r="24" spans="1:16" ht="15" customHeight="1" x14ac:dyDescent="0.2">
      <c r="A24" s="9" t="s">
        <v>140</v>
      </c>
      <c r="B24" s="30">
        <f>B23/B20</f>
        <v>0.70093945212209652</v>
      </c>
    </row>
    <row r="25" spans="1:16" ht="15" customHeight="1" x14ac:dyDescent="0.2">
      <c r="A25" s="9" t="s">
        <v>141</v>
      </c>
      <c r="B25" s="31">
        <f>Assumptions!$B$32/B24</f>
        <v>1.8546537736808018</v>
      </c>
    </row>
    <row r="26" spans="1:16" ht="15" customHeight="1" x14ac:dyDescent="0.2">
      <c r="A26" s="9" t="s">
        <v>142</v>
      </c>
      <c r="B26" s="32" t="str">
        <f>IF(B23=B20,"DSCR sculpting",IF(B23=B21,"Leverage cap","LLCR"))</f>
        <v>LLCR</v>
      </c>
    </row>
    <row r="28" spans="1:16" ht="15" customHeight="1" x14ac:dyDescent="0.2">
      <c r="A28" s="8" t="s">
        <v>143</v>
      </c>
      <c r="B28" s="8"/>
      <c r="C28" s="8"/>
    </row>
    <row r="29" spans="1:16" ht="15" customHeight="1" x14ac:dyDescent="0.2">
      <c r="A29" s="22" t="s">
        <v>144</v>
      </c>
      <c r="B29" s="26">
        <f t="shared" ref="B29:P29" si="3">B$17*$B$24</f>
        <v>79327478.443165839</v>
      </c>
      <c r="C29" s="26">
        <f t="shared" si="3"/>
        <v>78831943.086810872</v>
      </c>
      <c r="D29" s="26">
        <f t="shared" si="3"/>
        <v>78326497.023328811</v>
      </c>
      <c r="E29" s="26">
        <f t="shared" si="3"/>
        <v>77810942.038577095</v>
      </c>
      <c r="F29" s="26">
        <f t="shared" si="3"/>
        <v>77285075.954130366</v>
      </c>
      <c r="G29" s="26">
        <f t="shared" si="3"/>
        <v>76748692.547994688</v>
      </c>
      <c r="H29" s="26">
        <f t="shared" si="3"/>
        <v>76201581.473736301</v>
      </c>
      <c r="I29" s="26">
        <f t="shared" si="3"/>
        <v>75643528.177992746</v>
      </c>
      <c r="J29" s="26">
        <f t="shared" si="3"/>
        <v>75074313.816334322</v>
      </c>
      <c r="K29" s="26">
        <f t="shared" si="3"/>
        <v>74493715.167442709</v>
      </c>
      <c r="L29" s="26">
        <f t="shared" si="3"/>
        <v>73901504.545573309</v>
      </c>
      <c r="M29" s="26">
        <f t="shared" si="3"/>
        <v>73297449.711266473</v>
      </c>
      <c r="N29" s="26">
        <f t="shared" si="3"/>
        <v>72681313.780273512</v>
      </c>
      <c r="O29" s="26">
        <f t="shared" si="3"/>
        <v>72052855.130660698</v>
      </c>
      <c r="P29" s="26">
        <f t="shared" si="3"/>
        <v>71411827.308055624</v>
      </c>
    </row>
    <row r="31" spans="1:16" ht="15" customHeight="1" x14ac:dyDescent="0.2">
      <c r="A31" s="28" t="s">
        <v>145</v>
      </c>
      <c r="B31" s="33">
        <f>NPV(Assumptions!$B$37,B$16:P$16)/B23</f>
        <v>1.4</v>
      </c>
      <c r="C31" s="27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B50"/>
  <sheetViews>
    <sheetView showGridLines="0" zoomScale="125" zoomScaleNormal="100" workbookViewId="0"/>
  </sheetViews>
  <sheetFormatPr baseColWidth="10" defaultColWidth="8.6640625" defaultRowHeight="15" x14ac:dyDescent="0.2"/>
  <cols>
    <col min="1" max="1" width="34.5" customWidth="1"/>
    <col min="2" max="2" width="4.33203125" customWidth="1"/>
    <col min="3" max="3" width="12" customWidth="1"/>
    <col min="4" max="28" width="11" customWidth="1"/>
  </cols>
  <sheetData>
    <row r="1" spans="1:28" ht="17.25" customHeight="1" x14ac:dyDescent="0.2">
      <c r="A1" s="34" t="s">
        <v>146</v>
      </c>
    </row>
    <row r="2" spans="1:28" ht="15" customHeight="1" x14ac:dyDescent="0.2">
      <c r="A2" s="6"/>
    </row>
    <row r="4" spans="1:28" ht="15" customHeight="1" x14ac:dyDescent="0.2">
      <c r="A4" s="35" t="s">
        <v>147</v>
      </c>
      <c r="C4" s="36">
        <f>Assumptions!$B$58-1</f>
        <v>2020</v>
      </c>
      <c r="D4" s="36">
        <f>Assumptions!$B$58+0</f>
        <v>2021</v>
      </c>
      <c r="E4" s="36">
        <f>Assumptions!$B$58+1</f>
        <v>2022</v>
      </c>
      <c r="F4" s="36">
        <f>Assumptions!$B$58+2</f>
        <v>2023</v>
      </c>
      <c r="G4" s="36">
        <f>Assumptions!$B$58+3</f>
        <v>2024</v>
      </c>
      <c r="H4" s="36">
        <f>Assumptions!$B$58+4</f>
        <v>2025</v>
      </c>
      <c r="I4" s="36">
        <f>Assumptions!$B$58+5</f>
        <v>2026</v>
      </c>
      <c r="J4" s="36">
        <f>Assumptions!$B$58+6</f>
        <v>2027</v>
      </c>
      <c r="K4" s="36">
        <f>Assumptions!$B$58+7</f>
        <v>2028</v>
      </c>
      <c r="L4" s="36">
        <f>Assumptions!$B$58+8</f>
        <v>2029</v>
      </c>
      <c r="M4" s="36">
        <f>Assumptions!$B$58+9</f>
        <v>2030</v>
      </c>
      <c r="N4" s="36">
        <f>Assumptions!$B$58+10</f>
        <v>2031</v>
      </c>
      <c r="O4" s="36">
        <f>Assumptions!$B$58+11</f>
        <v>2032</v>
      </c>
      <c r="P4" s="36">
        <f>Assumptions!$B$58+12</f>
        <v>2033</v>
      </c>
      <c r="Q4" s="36">
        <f>Assumptions!$B$58+13</f>
        <v>2034</v>
      </c>
      <c r="R4" s="36">
        <f>Assumptions!$B$58+14</f>
        <v>2035</v>
      </c>
      <c r="S4" s="36">
        <f>Assumptions!$B$58+15</f>
        <v>2036</v>
      </c>
      <c r="T4" s="36">
        <f>Assumptions!$B$58+16</f>
        <v>2037</v>
      </c>
      <c r="U4" s="36">
        <f>Assumptions!$B$58+17</f>
        <v>2038</v>
      </c>
      <c r="V4" s="36">
        <f>Assumptions!$B$58+18</f>
        <v>2039</v>
      </c>
      <c r="W4" s="36">
        <f>Assumptions!$B$58+19</f>
        <v>2040</v>
      </c>
      <c r="X4" s="36">
        <f>Assumptions!$B$58+20</f>
        <v>2041</v>
      </c>
      <c r="Y4" s="36">
        <f>Assumptions!$B$58+21</f>
        <v>2042</v>
      </c>
      <c r="Z4" s="36">
        <f>Assumptions!$B$58+22</f>
        <v>2043</v>
      </c>
      <c r="AA4" s="36">
        <f>Assumptions!$B$58+23</f>
        <v>2044</v>
      </c>
      <c r="AB4" s="36">
        <f>Assumptions!$B$58+24</f>
        <v>2045</v>
      </c>
    </row>
    <row r="5" spans="1:28" ht="15" customHeight="1" x14ac:dyDescent="0.2">
      <c r="A5" s="35" t="s">
        <v>123</v>
      </c>
      <c r="C5" s="37">
        <v>0</v>
      </c>
      <c r="D5" s="37">
        <v>1</v>
      </c>
      <c r="E5" s="37">
        <v>2</v>
      </c>
      <c r="F5" s="37">
        <v>3</v>
      </c>
      <c r="G5" s="37">
        <v>4</v>
      </c>
      <c r="H5" s="37">
        <v>5</v>
      </c>
      <c r="I5" s="37">
        <v>6</v>
      </c>
      <c r="J5" s="37">
        <v>7</v>
      </c>
      <c r="K5" s="37">
        <v>8</v>
      </c>
      <c r="L5" s="37">
        <v>9</v>
      </c>
      <c r="M5" s="37">
        <v>10</v>
      </c>
      <c r="N5" s="37">
        <v>11</v>
      </c>
      <c r="O5" s="37">
        <v>12</v>
      </c>
      <c r="P5" s="37">
        <v>13</v>
      </c>
      <c r="Q5" s="37">
        <v>14</v>
      </c>
      <c r="R5" s="37">
        <v>15</v>
      </c>
      <c r="S5" s="37">
        <v>16</v>
      </c>
      <c r="T5" s="37">
        <v>17</v>
      </c>
      <c r="U5" s="37">
        <v>18</v>
      </c>
      <c r="V5" s="37">
        <v>19</v>
      </c>
      <c r="W5" s="37">
        <v>20</v>
      </c>
      <c r="X5" s="37">
        <v>21</v>
      </c>
      <c r="Y5" s="37">
        <v>22</v>
      </c>
      <c r="Z5" s="37">
        <v>23</v>
      </c>
      <c r="AA5" s="37">
        <v>24</v>
      </c>
      <c r="AB5" s="37">
        <v>25</v>
      </c>
    </row>
    <row r="8" spans="1:28" ht="15" customHeight="1" x14ac:dyDescent="0.2">
      <c r="A8" s="38" t="s">
        <v>148</v>
      </c>
      <c r="C8" s="38"/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</row>
    <row r="9" spans="1:28" ht="15" customHeight="1" x14ac:dyDescent="0.2">
      <c r="A9" s="24" t="s">
        <v>149</v>
      </c>
      <c r="C9" s="39">
        <v>0</v>
      </c>
      <c r="D9" s="39">
        <f>(1-Assumptions!$B$8)^(D$5-1)</f>
        <v>1</v>
      </c>
      <c r="E9" s="39">
        <f>(1-Assumptions!$B$8)^(E$5-1)</f>
        <v>1</v>
      </c>
      <c r="F9" s="39">
        <f>(1-Assumptions!$B$8)^(F$5-1)</f>
        <v>1</v>
      </c>
      <c r="G9" s="39">
        <f>(1-Assumptions!$B$8)^(G$5-1)</f>
        <v>1</v>
      </c>
      <c r="H9" s="39">
        <f>(1-Assumptions!$B$8)^(H$5-1)</f>
        <v>1</v>
      </c>
      <c r="I9" s="39">
        <f>(1-Assumptions!$B$8)^(I$5-1)</f>
        <v>1</v>
      </c>
      <c r="J9" s="39">
        <f>(1-Assumptions!$B$8)^(J$5-1)</f>
        <v>1</v>
      </c>
      <c r="K9" s="39">
        <f>(1-Assumptions!$B$8)^(K$5-1)</f>
        <v>1</v>
      </c>
      <c r="L9" s="39">
        <f>(1-Assumptions!$B$8)^(L$5-1)</f>
        <v>1</v>
      </c>
      <c r="M9" s="39">
        <f>(1-Assumptions!$B$8)^(M$5-1)</f>
        <v>1</v>
      </c>
      <c r="N9" s="39">
        <f>(1-Assumptions!$B$8)^(N$5-1)</f>
        <v>1</v>
      </c>
      <c r="O9" s="39">
        <f>(1-Assumptions!$B$8)^(O$5-1)</f>
        <v>1</v>
      </c>
      <c r="P9" s="39">
        <f>(1-Assumptions!$B$8)^(P$5-1)</f>
        <v>1</v>
      </c>
      <c r="Q9" s="39">
        <f>(1-Assumptions!$B$8)^(Q$5-1)</f>
        <v>1</v>
      </c>
      <c r="R9" s="39">
        <f>(1-Assumptions!$B$8)^(R$5-1)</f>
        <v>1</v>
      </c>
      <c r="S9" s="39">
        <f>(1-Assumptions!$B$8)^(S$5-1)</f>
        <v>1</v>
      </c>
      <c r="T9" s="39">
        <f>(1-Assumptions!$B$8)^(T$5-1)</f>
        <v>1</v>
      </c>
      <c r="U9" s="39">
        <f>(1-Assumptions!$B$8)^(U$5-1)</f>
        <v>1</v>
      </c>
      <c r="V9" s="39">
        <f>(1-Assumptions!$B$8)^(V$5-1)</f>
        <v>1</v>
      </c>
      <c r="W9" s="39">
        <f>(1-Assumptions!$B$8)^(W$5-1)</f>
        <v>1</v>
      </c>
      <c r="X9" s="39">
        <f>(1-Assumptions!$B$8)^(X$5-1)</f>
        <v>1</v>
      </c>
      <c r="Y9" s="39">
        <f>(1-Assumptions!$B$8)^(Y$5-1)</f>
        <v>1</v>
      </c>
      <c r="Z9" s="39">
        <f>(1-Assumptions!$B$8)^(Z$5-1)</f>
        <v>1</v>
      </c>
      <c r="AA9" s="39">
        <f>(1-Assumptions!$B$8)^(AA$5-1)</f>
        <v>1</v>
      </c>
      <c r="AB9" s="39">
        <f>(1-Assumptions!$B$8)^(AB$5-1)</f>
        <v>1</v>
      </c>
    </row>
    <row r="10" spans="1:28" ht="15" customHeight="1" x14ac:dyDescent="0.2">
      <c r="A10" s="24" t="s">
        <v>150</v>
      </c>
      <c r="C10" s="25">
        <v>0</v>
      </c>
      <c r="D10" s="25">
        <f>Assumptions!$B$6*Assumptions!$B$7*8760*D$9</f>
        <v>3293760</v>
      </c>
      <c r="E10" s="25">
        <f>Assumptions!$B$6*Assumptions!$B$7*8760*E$9</f>
        <v>3293760</v>
      </c>
      <c r="F10" s="25">
        <f>Assumptions!$B$6*Assumptions!$B$7*8760*F$9</f>
        <v>3293760</v>
      </c>
      <c r="G10" s="25">
        <f>Assumptions!$B$6*Assumptions!$B$7*8760*G$9</f>
        <v>3293760</v>
      </c>
      <c r="H10" s="25">
        <f>Assumptions!$B$6*Assumptions!$B$7*8760*H$9</f>
        <v>3293760</v>
      </c>
      <c r="I10" s="25">
        <f>Assumptions!$B$6*Assumptions!$B$7*8760*I$9</f>
        <v>3293760</v>
      </c>
      <c r="J10" s="25">
        <f>Assumptions!$B$6*Assumptions!$B$7*8760*J$9</f>
        <v>3293760</v>
      </c>
      <c r="K10" s="25">
        <f>Assumptions!$B$6*Assumptions!$B$7*8760*K$9</f>
        <v>3293760</v>
      </c>
      <c r="L10" s="25">
        <f>Assumptions!$B$6*Assumptions!$B$7*8760*L$9</f>
        <v>3293760</v>
      </c>
      <c r="M10" s="25">
        <f>Assumptions!$B$6*Assumptions!$B$7*8760*M$9</f>
        <v>3293760</v>
      </c>
      <c r="N10" s="25">
        <f>Assumptions!$B$6*Assumptions!$B$7*8760*N$9</f>
        <v>3293760</v>
      </c>
      <c r="O10" s="25">
        <f>Assumptions!$B$6*Assumptions!$B$7*8760*O$9</f>
        <v>3293760</v>
      </c>
      <c r="P10" s="25">
        <f>Assumptions!$B$6*Assumptions!$B$7*8760*P$9</f>
        <v>3293760</v>
      </c>
      <c r="Q10" s="25">
        <f>Assumptions!$B$6*Assumptions!$B$7*8760*Q$9</f>
        <v>3293760</v>
      </c>
      <c r="R10" s="25">
        <f>Assumptions!$B$6*Assumptions!$B$7*8760*R$9</f>
        <v>3293760</v>
      </c>
      <c r="S10" s="25">
        <f>Assumptions!$B$6*Assumptions!$B$7*8760*S$9</f>
        <v>3293760</v>
      </c>
      <c r="T10" s="25">
        <f>Assumptions!$B$6*Assumptions!$B$7*8760*T$9</f>
        <v>3293760</v>
      </c>
      <c r="U10" s="25">
        <f>Assumptions!$B$6*Assumptions!$B$7*8760*U$9</f>
        <v>3293760</v>
      </c>
      <c r="V10" s="25">
        <f>Assumptions!$B$6*Assumptions!$B$7*8760*V$9</f>
        <v>3293760</v>
      </c>
      <c r="W10" s="25">
        <f>Assumptions!$B$6*Assumptions!$B$7*8760*W$9</f>
        <v>3293760</v>
      </c>
      <c r="X10" s="25">
        <f>Assumptions!$B$6*Assumptions!$B$7*8760*X$9</f>
        <v>3293760</v>
      </c>
      <c r="Y10" s="25">
        <f>Assumptions!$B$6*Assumptions!$B$7*8760*Y$9</f>
        <v>3293760</v>
      </c>
      <c r="Z10" s="25">
        <f>Assumptions!$B$6*Assumptions!$B$7*8760*Z$9</f>
        <v>3293760</v>
      </c>
      <c r="AA10" s="25">
        <f>Assumptions!$B$6*Assumptions!$B$7*8760*AA$9</f>
        <v>3293760</v>
      </c>
      <c r="AB10" s="25">
        <f>Assumptions!$B$6*Assumptions!$B$7*8760*AB$9</f>
        <v>3293760</v>
      </c>
    </row>
    <row r="11" spans="1:28" ht="15" customHeight="1" x14ac:dyDescent="0.2">
      <c r="A11" s="38" t="s">
        <v>151</v>
      </c>
      <c r="C11" s="38"/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8"/>
    </row>
    <row r="12" spans="1:28" ht="15" customHeight="1" x14ac:dyDescent="0.2">
      <c r="A12" s="24" t="s">
        <v>152</v>
      </c>
      <c r="C12" s="40">
        <v>0</v>
      </c>
      <c r="D12" s="40">
        <f>Assumptions!$B$24</f>
        <v>30</v>
      </c>
      <c r="E12" s="40">
        <f>Assumptions!$B$24</f>
        <v>30</v>
      </c>
      <c r="F12" s="40">
        <f>Assumptions!$B$24</f>
        <v>30</v>
      </c>
      <c r="G12" s="40">
        <f>Assumptions!$B$24</f>
        <v>30</v>
      </c>
      <c r="H12" s="40">
        <f>Assumptions!$B$24</f>
        <v>30</v>
      </c>
      <c r="I12" s="40">
        <f>Assumptions!$B$24</f>
        <v>30</v>
      </c>
      <c r="J12" s="40">
        <f>Assumptions!$B$24</f>
        <v>30</v>
      </c>
      <c r="K12" s="40">
        <f>Assumptions!$B$24</f>
        <v>30</v>
      </c>
      <c r="L12" s="40">
        <f>Assumptions!$B$24</f>
        <v>30</v>
      </c>
      <c r="M12" s="40">
        <f>Assumptions!$B$24</f>
        <v>30</v>
      </c>
      <c r="N12" s="40">
        <f>Assumptions!$B$24</f>
        <v>30</v>
      </c>
      <c r="O12" s="40">
        <f>Assumptions!$B$24</f>
        <v>30</v>
      </c>
      <c r="P12" s="40">
        <f>Assumptions!$B$24</f>
        <v>30</v>
      </c>
      <c r="Q12" s="40">
        <f>Assumptions!$B$24</f>
        <v>30</v>
      </c>
      <c r="R12" s="40">
        <f>Assumptions!$B$24</f>
        <v>30</v>
      </c>
      <c r="S12" s="40">
        <f>Assumptions!$B$24</f>
        <v>30</v>
      </c>
      <c r="T12" s="40">
        <f>Assumptions!$B$24</f>
        <v>30</v>
      </c>
      <c r="U12" s="40">
        <f>Assumptions!$B$24</f>
        <v>30</v>
      </c>
      <c r="V12" s="40">
        <f>Assumptions!$B$24</f>
        <v>30</v>
      </c>
      <c r="W12" s="40">
        <f>Assumptions!$B$24</f>
        <v>30</v>
      </c>
      <c r="X12" s="40">
        <f>Assumptions!$B$24</f>
        <v>30</v>
      </c>
      <c r="Y12" s="40">
        <f>Assumptions!$B$24</f>
        <v>30</v>
      </c>
      <c r="Z12" s="40">
        <f>Assumptions!$B$24</f>
        <v>30</v>
      </c>
      <c r="AA12" s="40">
        <f>Assumptions!$B$24</f>
        <v>30</v>
      </c>
      <c r="AB12" s="40">
        <f>Assumptions!$B$24</f>
        <v>30</v>
      </c>
    </row>
    <row r="13" spans="1:28" ht="15" customHeight="1" x14ac:dyDescent="0.2">
      <c r="A13" s="24" t="s">
        <v>153</v>
      </c>
      <c r="C13" s="40">
        <v>0</v>
      </c>
      <c r="D13" s="40">
        <f>IF(D$5&lt;=Assumptions!$B$23,MAX(0,Assumptions!$B$21-MAX(D$12,Assumptions!$B$22)),0)</f>
        <v>42.7</v>
      </c>
      <c r="E13" s="40">
        <f>IF(E$5&lt;=Assumptions!$B$23,MAX(0,Assumptions!$B$21-MAX(E$12,Assumptions!$B$22)),0)</f>
        <v>42.7</v>
      </c>
      <c r="F13" s="40">
        <f>IF(F$5&lt;=Assumptions!$B$23,MAX(0,Assumptions!$B$21-MAX(F$12,Assumptions!$B$22)),0)</f>
        <v>42.7</v>
      </c>
      <c r="G13" s="40">
        <f>IF(G$5&lt;=Assumptions!$B$23,MAX(0,Assumptions!$B$21-MAX(G$12,Assumptions!$B$22)),0)</f>
        <v>42.7</v>
      </c>
      <c r="H13" s="40">
        <f>IF(H$5&lt;=Assumptions!$B$23,MAX(0,Assumptions!$B$21-MAX(H$12,Assumptions!$B$22)),0)</f>
        <v>42.7</v>
      </c>
      <c r="I13" s="40">
        <f>IF(I$5&lt;=Assumptions!$B$23,MAX(0,Assumptions!$B$21-MAX(I$12,Assumptions!$B$22)),0)</f>
        <v>42.7</v>
      </c>
      <c r="J13" s="40">
        <f>IF(J$5&lt;=Assumptions!$B$23,MAX(0,Assumptions!$B$21-MAX(J$12,Assumptions!$B$22)),0)</f>
        <v>42.7</v>
      </c>
      <c r="K13" s="40">
        <f>IF(K$5&lt;=Assumptions!$B$23,MAX(0,Assumptions!$B$21-MAX(K$12,Assumptions!$B$22)),0)</f>
        <v>42.7</v>
      </c>
      <c r="L13" s="40">
        <f>IF(L$5&lt;=Assumptions!$B$23,MAX(0,Assumptions!$B$21-MAX(L$12,Assumptions!$B$22)),0)</f>
        <v>42.7</v>
      </c>
      <c r="M13" s="40">
        <f>IF(M$5&lt;=Assumptions!$B$23,MAX(0,Assumptions!$B$21-MAX(M$12,Assumptions!$B$22)),0)</f>
        <v>42.7</v>
      </c>
      <c r="N13" s="40">
        <f>IF(N$5&lt;=Assumptions!$B$23,MAX(0,Assumptions!$B$21-MAX(N$12,Assumptions!$B$22)),0)</f>
        <v>42.7</v>
      </c>
      <c r="O13" s="40">
        <f>IF(O$5&lt;=Assumptions!$B$23,MAX(0,Assumptions!$B$21-MAX(O$12,Assumptions!$B$22)),0)</f>
        <v>42.7</v>
      </c>
      <c r="P13" s="40">
        <f>IF(P$5&lt;=Assumptions!$B$23,MAX(0,Assumptions!$B$21-MAX(P$12,Assumptions!$B$22)),0)</f>
        <v>42.7</v>
      </c>
      <c r="Q13" s="40">
        <f>IF(Q$5&lt;=Assumptions!$B$23,MAX(0,Assumptions!$B$21-MAX(Q$12,Assumptions!$B$22)),0)</f>
        <v>42.7</v>
      </c>
      <c r="R13" s="40">
        <f>IF(R$5&lt;=Assumptions!$B$23,MAX(0,Assumptions!$B$21-MAX(R$12,Assumptions!$B$22)),0)</f>
        <v>42.7</v>
      </c>
      <c r="S13" s="40">
        <v>0</v>
      </c>
      <c r="T13" s="40">
        <v>0</v>
      </c>
      <c r="U13" s="40">
        <v>0</v>
      </c>
      <c r="V13" s="40">
        <v>0</v>
      </c>
      <c r="W13" s="40">
        <v>0</v>
      </c>
      <c r="X13" s="40">
        <v>0</v>
      </c>
      <c r="Y13" s="40">
        <v>0</v>
      </c>
      <c r="Z13" s="40">
        <v>0</v>
      </c>
      <c r="AA13" s="40">
        <v>0</v>
      </c>
      <c r="AB13" s="40">
        <v>0</v>
      </c>
    </row>
    <row r="14" spans="1:28" ht="15" customHeight="1" x14ac:dyDescent="0.2">
      <c r="A14" s="24" t="s">
        <v>154</v>
      </c>
      <c r="C14" s="40">
        <v>0</v>
      </c>
      <c r="D14" s="40">
        <f t="shared" ref="D14:AB14" si="0">D$12+D$13</f>
        <v>72.7</v>
      </c>
      <c r="E14" s="40">
        <f t="shared" si="0"/>
        <v>72.7</v>
      </c>
      <c r="F14" s="40">
        <f t="shared" si="0"/>
        <v>72.7</v>
      </c>
      <c r="G14" s="40">
        <f t="shared" si="0"/>
        <v>72.7</v>
      </c>
      <c r="H14" s="40">
        <f t="shared" si="0"/>
        <v>72.7</v>
      </c>
      <c r="I14" s="40">
        <f t="shared" si="0"/>
        <v>72.7</v>
      </c>
      <c r="J14" s="40">
        <f t="shared" si="0"/>
        <v>72.7</v>
      </c>
      <c r="K14" s="40">
        <f t="shared" si="0"/>
        <v>72.7</v>
      </c>
      <c r="L14" s="40">
        <f t="shared" si="0"/>
        <v>72.7</v>
      </c>
      <c r="M14" s="40">
        <f t="shared" si="0"/>
        <v>72.7</v>
      </c>
      <c r="N14" s="40">
        <f t="shared" si="0"/>
        <v>72.7</v>
      </c>
      <c r="O14" s="40">
        <f t="shared" si="0"/>
        <v>72.7</v>
      </c>
      <c r="P14" s="40">
        <f t="shared" si="0"/>
        <v>72.7</v>
      </c>
      <c r="Q14" s="40">
        <f t="shared" si="0"/>
        <v>72.7</v>
      </c>
      <c r="R14" s="40">
        <f t="shared" si="0"/>
        <v>72.7</v>
      </c>
      <c r="S14" s="40">
        <f t="shared" si="0"/>
        <v>30</v>
      </c>
      <c r="T14" s="40">
        <f t="shared" si="0"/>
        <v>30</v>
      </c>
      <c r="U14" s="40">
        <f t="shared" si="0"/>
        <v>30</v>
      </c>
      <c r="V14" s="40">
        <f t="shared" si="0"/>
        <v>30</v>
      </c>
      <c r="W14" s="40">
        <f t="shared" si="0"/>
        <v>30</v>
      </c>
      <c r="X14" s="40">
        <f t="shared" si="0"/>
        <v>30</v>
      </c>
      <c r="Y14" s="40">
        <f t="shared" si="0"/>
        <v>30</v>
      </c>
      <c r="Z14" s="40">
        <f t="shared" si="0"/>
        <v>30</v>
      </c>
      <c r="AA14" s="40">
        <f t="shared" si="0"/>
        <v>30</v>
      </c>
      <c r="AB14" s="40">
        <f t="shared" si="0"/>
        <v>30</v>
      </c>
    </row>
    <row r="15" spans="1:28" ht="15" customHeight="1" x14ac:dyDescent="0.2">
      <c r="A15" s="24" t="s">
        <v>155</v>
      </c>
      <c r="C15" s="41">
        <v>0</v>
      </c>
      <c r="D15" s="41">
        <f t="shared" ref="D15:AB15" si="1">D$10*D$14</f>
        <v>239456352</v>
      </c>
      <c r="E15" s="41">
        <f t="shared" si="1"/>
        <v>239456352</v>
      </c>
      <c r="F15" s="41">
        <f t="shared" si="1"/>
        <v>239456352</v>
      </c>
      <c r="G15" s="41">
        <f t="shared" si="1"/>
        <v>239456352</v>
      </c>
      <c r="H15" s="41">
        <f t="shared" si="1"/>
        <v>239456352</v>
      </c>
      <c r="I15" s="41">
        <f t="shared" si="1"/>
        <v>239456352</v>
      </c>
      <c r="J15" s="41">
        <f t="shared" si="1"/>
        <v>239456352</v>
      </c>
      <c r="K15" s="41">
        <f t="shared" si="1"/>
        <v>239456352</v>
      </c>
      <c r="L15" s="41">
        <f t="shared" si="1"/>
        <v>239456352</v>
      </c>
      <c r="M15" s="41">
        <f t="shared" si="1"/>
        <v>239456352</v>
      </c>
      <c r="N15" s="41">
        <f t="shared" si="1"/>
        <v>239456352</v>
      </c>
      <c r="O15" s="41">
        <f t="shared" si="1"/>
        <v>239456352</v>
      </c>
      <c r="P15" s="41">
        <f t="shared" si="1"/>
        <v>239456352</v>
      </c>
      <c r="Q15" s="41">
        <f t="shared" si="1"/>
        <v>239456352</v>
      </c>
      <c r="R15" s="41">
        <f t="shared" si="1"/>
        <v>239456352</v>
      </c>
      <c r="S15" s="41">
        <f t="shared" si="1"/>
        <v>98812800</v>
      </c>
      <c r="T15" s="41">
        <f t="shared" si="1"/>
        <v>98812800</v>
      </c>
      <c r="U15" s="41">
        <f t="shared" si="1"/>
        <v>98812800</v>
      </c>
      <c r="V15" s="41">
        <f t="shared" si="1"/>
        <v>98812800</v>
      </c>
      <c r="W15" s="41">
        <f t="shared" si="1"/>
        <v>98812800</v>
      </c>
      <c r="X15" s="41">
        <f t="shared" si="1"/>
        <v>98812800</v>
      </c>
      <c r="Y15" s="41">
        <f t="shared" si="1"/>
        <v>98812800</v>
      </c>
      <c r="Z15" s="41">
        <f t="shared" si="1"/>
        <v>98812800</v>
      </c>
      <c r="AA15" s="41">
        <f t="shared" si="1"/>
        <v>98812800</v>
      </c>
      <c r="AB15" s="41">
        <f t="shared" si="1"/>
        <v>98812800</v>
      </c>
    </row>
    <row r="16" spans="1:28" ht="15" customHeight="1" x14ac:dyDescent="0.2">
      <c r="A16" s="38" t="s">
        <v>39</v>
      </c>
      <c r="C16" s="38"/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</row>
    <row r="17" spans="1:28" ht="15" customHeight="1" x14ac:dyDescent="0.2">
      <c r="A17" s="24" t="s">
        <v>156</v>
      </c>
      <c r="C17" s="41">
        <v>0</v>
      </c>
      <c r="D17" s="41">
        <f>Assumptions!$B$17*(1+Assumptions!$B$19)^(D$5-1)*D$10</f>
        <v>31587158.399999999</v>
      </c>
      <c r="E17" s="41">
        <f>Assumptions!$B$17*(1+Assumptions!$B$19)^(E$5-1)*E$10</f>
        <v>32218901.568</v>
      </c>
      <c r="F17" s="41">
        <f>Assumptions!$B$17*(1+Assumptions!$B$19)^(F$5-1)*F$10</f>
        <v>32863279.599359997</v>
      </c>
      <c r="G17" s="41">
        <f>Assumptions!$B$17*(1+Assumptions!$B$19)^(G$5-1)*G$10</f>
        <v>33520545.191347193</v>
      </c>
      <c r="H17" s="41">
        <f>Assumptions!$B$17*(1+Assumptions!$B$19)^(H$5-1)*H$10</f>
        <v>34190956.095174141</v>
      </c>
      <c r="I17" s="41">
        <f>Assumptions!$B$17*(1+Assumptions!$B$19)^(I$5-1)*I$10</f>
        <v>34874775.217077628</v>
      </c>
      <c r="J17" s="41">
        <f>Assumptions!$B$17*(1+Assumptions!$B$19)^(J$5-1)*J$10</f>
        <v>35572270.721419178</v>
      </c>
      <c r="K17" s="41">
        <f>Assumptions!$B$17*(1+Assumptions!$B$19)^(K$5-1)*K$10</f>
        <v>36283716.135847554</v>
      </c>
      <c r="L17" s="41">
        <f>Assumptions!$B$17*(1+Assumptions!$B$19)^(L$5-1)*L$10</f>
        <v>37009390.458564512</v>
      </c>
      <c r="M17" s="41">
        <f>Assumptions!$B$17*(1+Assumptions!$B$19)^(M$5-1)*M$10</f>
        <v>37749578.267735802</v>
      </c>
      <c r="N17" s="41">
        <f>Assumptions!$B$17*(1+Assumptions!$B$19)^(N$5-1)*N$10</f>
        <v>38504569.833090514</v>
      </c>
      <c r="O17" s="41">
        <f>Assumptions!$B$17*(1+Assumptions!$B$19)^(O$5-1)*O$10</f>
        <v>39274661.229752325</v>
      </c>
      <c r="P17" s="41">
        <f>Assumptions!$B$17*(1+Assumptions!$B$19)^(P$5-1)*P$10</f>
        <v>40060154.454347372</v>
      </c>
      <c r="Q17" s="41">
        <f>Assumptions!$B$17*(1+Assumptions!$B$19)^(Q$5-1)*Q$10</f>
        <v>40861357.543434322</v>
      </c>
      <c r="R17" s="41">
        <f>Assumptions!$B$17*(1+Assumptions!$B$19)^(R$5-1)*R$10</f>
        <v>41678584.694303013</v>
      </c>
      <c r="S17" s="41">
        <f>Assumptions!$B$17*(1+Assumptions!$B$19)^(S$5-1)*S$10</f>
        <v>42512156.388189055</v>
      </c>
      <c r="T17" s="41">
        <f>Assumptions!$B$17*(1+Assumptions!$B$19)^(T$5-1)*T$10</f>
        <v>43362399.515952848</v>
      </c>
      <c r="U17" s="41">
        <f>Assumptions!$B$17*(1+Assumptions!$B$19)^(U$5-1)*U$10</f>
        <v>44229647.506271914</v>
      </c>
      <c r="V17" s="41">
        <f>Assumptions!$B$17*(1+Assumptions!$B$19)^(V$5-1)*V$10</f>
        <v>45114240.45639734</v>
      </c>
      <c r="W17" s="41">
        <f>Assumptions!$B$17*(1+Assumptions!$B$19)^(W$5-1)*W$10</f>
        <v>46016525.265525289</v>
      </c>
      <c r="X17" s="41">
        <f>Assumptions!$B$17*(1+Assumptions!$B$19)^(X$5-1)*X$10</f>
        <v>46936855.770835802</v>
      </c>
      <c r="Y17" s="41">
        <f>Assumptions!$B$17*(1+Assumptions!$B$19)^(Y$5-1)*Y$10</f>
        <v>47875592.886252508</v>
      </c>
      <c r="Z17" s="41">
        <f>Assumptions!$B$17*(1+Assumptions!$B$19)^(Z$5-1)*Z$10</f>
        <v>48833104.743977562</v>
      </c>
      <c r="AA17" s="41">
        <f>Assumptions!$B$17*(1+Assumptions!$B$19)^(AA$5-1)*AA$10</f>
        <v>49809766.838857099</v>
      </c>
      <c r="AB17" s="41">
        <f>Assumptions!$B$17*(1+Assumptions!$B$19)^(AB$5-1)*AB$10</f>
        <v>50805962.17563425</v>
      </c>
    </row>
    <row r="18" spans="1:28" ht="15" customHeight="1" x14ac:dyDescent="0.2">
      <c r="A18" s="24" t="s">
        <v>157</v>
      </c>
      <c r="C18" s="41">
        <v>0</v>
      </c>
      <c r="D18" s="41">
        <f>Assumptions!$B$18*(1+Assumptions!$B$19)^(D$5-1)*Assumptions!$B$6</f>
        <v>30343200</v>
      </c>
      <c r="E18" s="41">
        <f>Assumptions!$B$18*(1+Assumptions!$B$19)^(E$5-1)*Assumptions!$B$6</f>
        <v>30950064</v>
      </c>
      <c r="F18" s="41">
        <f>Assumptions!$B$18*(1+Assumptions!$B$19)^(F$5-1)*Assumptions!$B$6</f>
        <v>31569065.280000001</v>
      </c>
      <c r="G18" s="41">
        <f>Assumptions!$B$18*(1+Assumptions!$B$19)^(G$5-1)*Assumptions!$B$6</f>
        <v>32200446.5856</v>
      </c>
      <c r="H18" s="41">
        <f>Assumptions!$B$18*(1+Assumptions!$B$19)^(H$5-1)*Assumptions!$B$6</f>
        <v>32844455.517311998</v>
      </c>
      <c r="I18" s="41">
        <f>Assumptions!$B$18*(1+Assumptions!$B$19)^(I$5-1)*Assumptions!$B$6</f>
        <v>33501344.62765824</v>
      </c>
      <c r="J18" s="41">
        <f>Assumptions!$B$18*(1+Assumptions!$B$19)^(J$5-1)*Assumptions!$B$6</f>
        <v>34171371.520211406</v>
      </c>
      <c r="K18" s="41">
        <f>Assumptions!$B$18*(1+Assumptions!$B$19)^(K$5-1)*Assumptions!$B$6</f>
        <v>34854798.95061563</v>
      </c>
      <c r="L18" s="41">
        <f>Assumptions!$B$18*(1+Assumptions!$B$19)^(L$5-1)*Assumptions!$B$6</f>
        <v>35551894.929627948</v>
      </c>
      <c r="M18" s="41">
        <f>Assumptions!$B$18*(1+Assumptions!$B$19)^(M$5-1)*Assumptions!$B$6</f>
        <v>36262932.828220502</v>
      </c>
      <c r="N18" s="41">
        <f>Assumptions!$B$18*(1+Assumptions!$B$19)^(N$5-1)*Assumptions!$B$6</f>
        <v>36988191.484784909</v>
      </c>
      <c r="O18" s="41">
        <f>Assumptions!$B$18*(1+Assumptions!$B$19)^(O$5-1)*Assumptions!$B$6</f>
        <v>37727955.314480603</v>
      </c>
      <c r="P18" s="41">
        <f>Assumptions!$B$18*(1+Assumptions!$B$19)^(P$5-1)*Assumptions!$B$6</f>
        <v>38482514.42077022</v>
      </c>
      <c r="Q18" s="41">
        <f>Assumptions!$B$18*(1+Assumptions!$B$19)^(Q$5-1)*Assumptions!$B$6</f>
        <v>39252164.70918563</v>
      </c>
      <c r="R18" s="41">
        <f>Assumptions!$B$18*(1+Assumptions!$B$19)^(R$5-1)*Assumptions!$B$6</f>
        <v>40037208.003369339</v>
      </c>
      <c r="S18" s="41">
        <f>Assumptions!$B$18*(1+Assumptions!$B$19)^(S$5-1)*Assumptions!$B$6</f>
        <v>40837952.163436718</v>
      </c>
      <c r="T18" s="41">
        <f>Assumptions!$B$18*(1+Assumptions!$B$19)^(T$5-1)*Assumptions!$B$6</f>
        <v>41654711.206705458</v>
      </c>
      <c r="U18" s="41">
        <f>Assumptions!$B$18*(1+Assumptions!$B$19)^(U$5-1)*Assumptions!$B$6</f>
        <v>42487805.430839576</v>
      </c>
      <c r="V18" s="41">
        <f>Assumptions!$B$18*(1+Assumptions!$B$19)^(V$5-1)*Assumptions!$B$6</f>
        <v>43337561.539456353</v>
      </c>
      <c r="W18" s="41">
        <f>Assumptions!$B$18*(1+Assumptions!$B$19)^(W$5-1)*Assumptions!$B$6</f>
        <v>44204312.770245485</v>
      </c>
      <c r="X18" s="41">
        <f>Assumptions!$B$18*(1+Assumptions!$B$19)^(X$5-1)*Assumptions!$B$6</f>
        <v>45088399.025650404</v>
      </c>
      <c r="Y18" s="41">
        <f>Assumptions!$B$18*(1+Assumptions!$B$19)^(Y$5-1)*Assumptions!$B$6</f>
        <v>45990167.006163403</v>
      </c>
      <c r="Z18" s="41">
        <f>Assumptions!$B$18*(1+Assumptions!$B$19)^(Z$5-1)*Assumptions!$B$6</f>
        <v>46909970.346286677</v>
      </c>
      <c r="AA18" s="41">
        <f>Assumptions!$B$18*(1+Assumptions!$B$19)^(AA$5-1)*Assumptions!$B$6</f>
        <v>47848169.753212392</v>
      </c>
      <c r="AB18" s="41">
        <f>Assumptions!$B$18*(1+Assumptions!$B$19)^(AB$5-1)*Assumptions!$B$6</f>
        <v>48805133.148276649</v>
      </c>
    </row>
    <row r="19" spans="1:28" ht="15" customHeight="1" x14ac:dyDescent="0.2">
      <c r="A19" s="24" t="s">
        <v>158</v>
      </c>
      <c r="C19" s="41">
        <v>0</v>
      </c>
      <c r="D19" s="41">
        <f t="shared" ref="D19:AB19" si="2">D$17+D$18</f>
        <v>61930358.399999999</v>
      </c>
      <c r="E19" s="41">
        <f t="shared" si="2"/>
        <v>63168965.568000004</v>
      </c>
      <c r="F19" s="41">
        <f t="shared" si="2"/>
        <v>64432344.879359998</v>
      </c>
      <c r="G19" s="41">
        <f t="shared" si="2"/>
        <v>65720991.776947193</v>
      </c>
      <c r="H19" s="41">
        <f t="shared" si="2"/>
        <v>67035411.612486139</v>
      </c>
      <c r="I19" s="41">
        <f t="shared" si="2"/>
        <v>68376119.844735861</v>
      </c>
      <c r="J19" s="41">
        <f t="shared" si="2"/>
        <v>69743642.241630584</v>
      </c>
      <c r="K19" s="41">
        <f t="shared" si="2"/>
        <v>71138515.086463183</v>
      </c>
      <c r="L19" s="41">
        <f t="shared" si="2"/>
        <v>72561285.38819246</v>
      </c>
      <c r="M19" s="41">
        <f t="shared" si="2"/>
        <v>74012511.095956296</v>
      </c>
      <c r="N19" s="41">
        <f t="shared" si="2"/>
        <v>75492761.317875415</v>
      </c>
      <c r="O19" s="41">
        <f t="shared" si="2"/>
        <v>77002616.544232935</v>
      </c>
      <c r="P19" s="41">
        <f t="shared" si="2"/>
        <v>78542668.8751176</v>
      </c>
      <c r="Q19" s="41">
        <f t="shared" si="2"/>
        <v>80113522.252619952</v>
      </c>
      <c r="R19" s="41">
        <f t="shared" si="2"/>
        <v>81715792.697672352</v>
      </c>
      <c r="S19" s="41">
        <f t="shared" si="2"/>
        <v>83350108.551625773</v>
      </c>
      <c r="T19" s="41">
        <f t="shared" si="2"/>
        <v>85017110.722658306</v>
      </c>
      <c r="U19" s="41">
        <f t="shared" si="2"/>
        <v>86717452.937111497</v>
      </c>
      <c r="V19" s="41">
        <f t="shared" si="2"/>
        <v>88451801.995853692</v>
      </c>
      <c r="W19" s="41">
        <f t="shared" si="2"/>
        <v>90220838.035770774</v>
      </c>
      <c r="X19" s="41">
        <f t="shared" si="2"/>
        <v>92025254.796486199</v>
      </c>
      <c r="Y19" s="41">
        <f t="shared" si="2"/>
        <v>93865759.892415911</v>
      </c>
      <c r="Z19" s="41">
        <f t="shared" si="2"/>
        <v>95743075.090264231</v>
      </c>
      <c r="AA19" s="41">
        <f t="shared" si="2"/>
        <v>97657936.592069492</v>
      </c>
      <c r="AB19" s="41">
        <f t="shared" si="2"/>
        <v>99611095.323910892</v>
      </c>
    </row>
    <row r="20" spans="1:28" ht="15" customHeight="1" x14ac:dyDescent="0.2">
      <c r="A20" s="38" t="s">
        <v>159</v>
      </c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</row>
    <row r="21" spans="1:28" ht="15" customHeight="1" x14ac:dyDescent="0.2">
      <c r="A21" s="24" t="s">
        <v>127</v>
      </c>
      <c r="C21" s="41">
        <v>0</v>
      </c>
      <c r="D21" s="41">
        <f t="shared" ref="D21:AB21" si="3">D$15-D$19</f>
        <v>177525993.59999999</v>
      </c>
      <c r="E21" s="41">
        <f t="shared" si="3"/>
        <v>176287386.43199998</v>
      </c>
      <c r="F21" s="41">
        <f t="shared" si="3"/>
        <v>175024007.12064001</v>
      </c>
      <c r="G21" s="41">
        <f t="shared" si="3"/>
        <v>173735360.2230528</v>
      </c>
      <c r="H21" s="41">
        <f t="shared" si="3"/>
        <v>172420940.38751388</v>
      </c>
      <c r="I21" s="41">
        <f t="shared" si="3"/>
        <v>171080232.15526414</v>
      </c>
      <c r="J21" s="41">
        <f t="shared" si="3"/>
        <v>169712709.75836942</v>
      </c>
      <c r="K21" s="41">
        <f t="shared" si="3"/>
        <v>168317836.91353682</v>
      </c>
      <c r="L21" s="41">
        <f t="shared" si="3"/>
        <v>166895066.61180753</v>
      </c>
      <c r="M21" s="41">
        <f t="shared" si="3"/>
        <v>165443840.9040437</v>
      </c>
      <c r="N21" s="41">
        <f t="shared" si="3"/>
        <v>163963590.68212458</v>
      </c>
      <c r="O21" s="41">
        <f t="shared" si="3"/>
        <v>162453735.45576707</v>
      </c>
      <c r="P21" s="41">
        <f t="shared" si="3"/>
        <v>160913683.1248824</v>
      </c>
      <c r="Q21" s="41">
        <f t="shared" si="3"/>
        <v>159342829.74738005</v>
      </c>
      <c r="R21" s="41">
        <f t="shared" si="3"/>
        <v>157740559.30232763</v>
      </c>
      <c r="S21" s="41">
        <f t="shared" si="3"/>
        <v>15462691.448374227</v>
      </c>
      <c r="T21" s="41">
        <f t="shared" si="3"/>
        <v>13795689.277341694</v>
      </c>
      <c r="U21" s="41">
        <f t="shared" si="3"/>
        <v>12095347.062888503</v>
      </c>
      <c r="V21" s="41">
        <f t="shared" si="3"/>
        <v>10360998.004146308</v>
      </c>
      <c r="W21" s="41">
        <f t="shared" si="3"/>
        <v>8591961.9642292261</v>
      </c>
      <c r="X21" s="41">
        <f t="shared" si="3"/>
        <v>6787545.2035138011</v>
      </c>
      <c r="Y21" s="41">
        <f t="shared" si="3"/>
        <v>4947040.107584089</v>
      </c>
      <c r="Z21" s="41">
        <f t="shared" si="3"/>
        <v>3069724.909735769</v>
      </c>
      <c r="AA21" s="41">
        <f t="shared" si="3"/>
        <v>1154863.4079305083</v>
      </c>
      <c r="AB21" s="41">
        <f t="shared" si="3"/>
        <v>-798295.32391089201</v>
      </c>
    </row>
    <row r="22" spans="1:28" ht="15" customHeight="1" x14ac:dyDescent="0.2">
      <c r="A22" s="24" t="s">
        <v>160</v>
      </c>
      <c r="C22" s="41">
        <v>0</v>
      </c>
      <c r="D22" s="41">
        <f>Assumptions!$B$13/Assumptions!$B$59</f>
        <v>59640000</v>
      </c>
      <c r="E22" s="41">
        <f>Assumptions!$B$13/Assumptions!$B$59</f>
        <v>59640000</v>
      </c>
      <c r="F22" s="41">
        <f>Assumptions!$B$13/Assumptions!$B$59</f>
        <v>59640000</v>
      </c>
      <c r="G22" s="41">
        <f>Assumptions!$B$13/Assumptions!$B$59</f>
        <v>59640000</v>
      </c>
      <c r="H22" s="41">
        <f>Assumptions!$B$13/Assumptions!$B$59</f>
        <v>59640000</v>
      </c>
      <c r="I22" s="41">
        <f>Assumptions!$B$13/Assumptions!$B$59</f>
        <v>59640000</v>
      </c>
      <c r="J22" s="41">
        <f>Assumptions!$B$13/Assumptions!$B$59</f>
        <v>59640000</v>
      </c>
      <c r="K22" s="41">
        <f>Assumptions!$B$13/Assumptions!$B$59</f>
        <v>59640000</v>
      </c>
      <c r="L22" s="41">
        <f>Assumptions!$B$13/Assumptions!$B$59</f>
        <v>59640000</v>
      </c>
      <c r="M22" s="41">
        <f>Assumptions!$B$13/Assumptions!$B$59</f>
        <v>59640000</v>
      </c>
      <c r="N22" s="41">
        <f>Assumptions!$B$13/Assumptions!$B$59</f>
        <v>59640000</v>
      </c>
      <c r="O22" s="41">
        <f>Assumptions!$B$13/Assumptions!$B$59</f>
        <v>59640000</v>
      </c>
      <c r="P22" s="41">
        <f>Assumptions!$B$13/Assumptions!$B$59</f>
        <v>59640000</v>
      </c>
      <c r="Q22" s="41">
        <f>Assumptions!$B$13/Assumptions!$B$59</f>
        <v>59640000</v>
      </c>
      <c r="R22" s="41">
        <f>Assumptions!$B$13/Assumptions!$B$59</f>
        <v>59640000</v>
      </c>
      <c r="S22" s="41">
        <f>Assumptions!$B$13/Assumptions!$B$59</f>
        <v>59640000</v>
      </c>
      <c r="T22" s="41">
        <f>Assumptions!$B$13/Assumptions!$B$59</f>
        <v>59640000</v>
      </c>
      <c r="U22" s="41">
        <f>Assumptions!$B$13/Assumptions!$B$59</f>
        <v>59640000</v>
      </c>
      <c r="V22" s="41">
        <f>Assumptions!$B$13/Assumptions!$B$59</f>
        <v>59640000</v>
      </c>
      <c r="W22" s="41">
        <f>Assumptions!$B$13/Assumptions!$B$59</f>
        <v>59640000</v>
      </c>
      <c r="X22" s="41">
        <f>Assumptions!$B$13/Assumptions!$B$59</f>
        <v>59640000</v>
      </c>
      <c r="Y22" s="41">
        <f>Assumptions!$B$13/Assumptions!$B$59</f>
        <v>59640000</v>
      </c>
      <c r="Z22" s="41">
        <f>Assumptions!$B$13/Assumptions!$B$59</f>
        <v>59640000</v>
      </c>
      <c r="AA22" s="41">
        <f>Assumptions!$B$13/Assumptions!$B$59</f>
        <v>59640000</v>
      </c>
      <c r="AB22" s="41">
        <f>Assumptions!$B$13/Assumptions!$B$59</f>
        <v>59640000</v>
      </c>
    </row>
    <row r="23" spans="1:28" ht="15" customHeight="1" x14ac:dyDescent="0.2">
      <c r="A23" s="38" t="s">
        <v>161</v>
      </c>
      <c r="C23" s="38"/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</row>
    <row r="24" spans="1:28" ht="15" customHeight="1" x14ac:dyDescent="0.2">
      <c r="A24" s="24" t="s">
        <v>162</v>
      </c>
      <c r="C24" s="41">
        <v>0</v>
      </c>
      <c r="D24" s="41">
        <f>'Debt Sizing'!$B$23</f>
        <v>919857405.80435824</v>
      </c>
      <c r="E24" s="41">
        <f t="shared" ref="E24:R24" si="4">D$28</f>
        <v>866092764.66849554</v>
      </c>
      <c r="F24" s="41">
        <f t="shared" si="4"/>
        <v>811329539.5118221</v>
      </c>
      <c r="G24" s="41">
        <f t="shared" si="4"/>
        <v>755549890.39152682</v>
      </c>
      <c r="H24" s="41">
        <f t="shared" si="4"/>
        <v>698735679.8069303</v>
      </c>
      <c r="I24" s="41">
        <f t="shared" si="4"/>
        <v>640868468.39463449</v>
      </c>
      <c r="J24" s="41">
        <f t="shared" si="4"/>
        <v>581929510.5833267</v>
      </c>
      <c r="K24" s="41">
        <f t="shared" si="4"/>
        <v>521899750.20870101</v>
      </c>
      <c r="L24" s="41">
        <f t="shared" si="4"/>
        <v>460759816.08900809</v>
      </c>
      <c r="M24" s="41">
        <f t="shared" si="4"/>
        <v>398490017.56178731</v>
      </c>
      <c r="N24" s="41">
        <f t="shared" si="4"/>
        <v>335070339.98238665</v>
      </c>
      <c r="O24" s="41">
        <f t="shared" si="4"/>
        <v>270480440.18492389</v>
      </c>
      <c r="P24" s="41">
        <f t="shared" si="4"/>
        <v>204699641.90639645</v>
      </c>
      <c r="Q24" s="41">
        <f t="shared" si="4"/>
        <v>137706931.17470169</v>
      </c>
      <c r="R24" s="41">
        <f t="shared" si="4"/>
        <v>69480951.661385953</v>
      </c>
      <c r="S24" s="41">
        <v>0</v>
      </c>
      <c r="T24" s="41">
        <v>0</v>
      </c>
      <c r="U24" s="41">
        <v>0</v>
      </c>
      <c r="V24" s="41">
        <v>0</v>
      </c>
      <c r="W24" s="41">
        <v>0</v>
      </c>
      <c r="X24" s="41">
        <v>0</v>
      </c>
      <c r="Y24" s="41">
        <v>0</v>
      </c>
      <c r="Z24" s="41">
        <v>0</v>
      </c>
      <c r="AA24" s="41">
        <v>0</v>
      </c>
      <c r="AB24" s="41">
        <v>0</v>
      </c>
    </row>
    <row r="25" spans="1:28" ht="15" customHeight="1" x14ac:dyDescent="0.2">
      <c r="A25" s="24" t="s">
        <v>163</v>
      </c>
      <c r="C25" s="41">
        <v>0</v>
      </c>
      <c r="D25" s="41">
        <f>D$24*Assumptions!$B$29</f>
        <v>25562837.307303116</v>
      </c>
      <c r="E25" s="41">
        <f>E$24*Assumptions!$B$29</f>
        <v>24068717.930137489</v>
      </c>
      <c r="F25" s="41">
        <f>F$24*Assumptions!$B$29</f>
        <v>22546847.903033536</v>
      </c>
      <c r="G25" s="41">
        <f>G$24*Assumptions!$B$29</f>
        <v>20996731.453980528</v>
      </c>
      <c r="H25" s="41">
        <f>H$24*Assumptions!$B$29</f>
        <v>19417864.541834593</v>
      </c>
      <c r="I25" s="41">
        <f>I$24*Assumptions!$B$29</f>
        <v>17809734.736686893</v>
      </c>
      <c r="J25" s="41">
        <f>J$24*Assumptions!$B$29</f>
        <v>16171821.099110648</v>
      </c>
      <c r="K25" s="41">
        <f>K$24*Assumptions!$B$29</f>
        <v>14503594.0582998</v>
      </c>
      <c r="L25" s="41">
        <f>L$24*Assumptions!$B$29</f>
        <v>12804515.289113535</v>
      </c>
      <c r="M25" s="41">
        <f>M$24*Assumptions!$B$29</f>
        <v>11074037.588042069</v>
      </c>
      <c r="N25" s="41">
        <f>N$24*Assumptions!$B$29</f>
        <v>9311604.7481105253</v>
      </c>
      <c r="O25" s="41">
        <f>O$24*Assumptions!$B$29</f>
        <v>7516651.4327390343</v>
      </c>
      <c r="P25" s="41">
        <f>P$24*Assumptions!$B$29</f>
        <v>5688603.0485787569</v>
      </c>
      <c r="Q25" s="41">
        <f>Q$24*Assumptions!$B$29</f>
        <v>3826875.6173449596</v>
      </c>
      <c r="R25" s="41">
        <f>R$24*Assumptions!$B$29</f>
        <v>1930875.6466699156</v>
      </c>
      <c r="S25" s="41">
        <f>S$24*Assumptions!$B$29</f>
        <v>0</v>
      </c>
      <c r="T25" s="41">
        <f>T$24*Assumptions!$B$29</f>
        <v>0</v>
      </c>
      <c r="U25" s="41">
        <f>U$24*Assumptions!$B$29</f>
        <v>0</v>
      </c>
      <c r="V25" s="41">
        <f>V$24*Assumptions!$B$29</f>
        <v>0</v>
      </c>
      <c r="W25" s="41">
        <f>W$24*Assumptions!$B$29</f>
        <v>0</v>
      </c>
      <c r="X25" s="41">
        <f>X$24*Assumptions!$B$29</f>
        <v>0</v>
      </c>
      <c r="Y25" s="41">
        <f>Y$24*Assumptions!$B$29</f>
        <v>0</v>
      </c>
      <c r="Z25" s="41">
        <f>Z$24*Assumptions!$B$29</f>
        <v>0</v>
      </c>
      <c r="AA25" s="41">
        <f>AA$24*Assumptions!$B$29</f>
        <v>0</v>
      </c>
      <c r="AB25" s="41">
        <f>AB$24*Assumptions!$B$29</f>
        <v>0</v>
      </c>
    </row>
    <row r="26" spans="1:28" ht="15" customHeight="1" x14ac:dyDescent="0.2">
      <c r="A26" s="24" t="s">
        <v>164</v>
      </c>
      <c r="C26" s="41">
        <v>0</v>
      </c>
      <c r="D26" s="41">
        <f>'Debt Sizing'!$B$29</f>
        <v>79327478.443165839</v>
      </c>
      <c r="E26" s="41">
        <f>'Debt Sizing'!$C$29</f>
        <v>78831943.086810872</v>
      </c>
      <c r="F26" s="41">
        <f>'Debt Sizing'!$D$29</f>
        <v>78326497.023328811</v>
      </c>
      <c r="G26" s="41">
        <f>'Debt Sizing'!$E$29</f>
        <v>77810942.038577095</v>
      </c>
      <c r="H26" s="41">
        <f>'Debt Sizing'!$F$29</f>
        <v>77285075.954130366</v>
      </c>
      <c r="I26" s="41">
        <f>'Debt Sizing'!$G$29</f>
        <v>76748692.547994688</v>
      </c>
      <c r="J26" s="41">
        <f>'Debt Sizing'!$H$29</f>
        <v>76201581.473736301</v>
      </c>
      <c r="K26" s="41">
        <f>'Debt Sizing'!$I$29</f>
        <v>75643528.177992746</v>
      </c>
      <c r="L26" s="41">
        <f>'Debt Sizing'!$J$29</f>
        <v>75074313.816334322</v>
      </c>
      <c r="M26" s="41">
        <f>'Debt Sizing'!$K$29</f>
        <v>74493715.167442709</v>
      </c>
      <c r="N26" s="41">
        <f>'Debt Sizing'!$L$29</f>
        <v>73901504.545573309</v>
      </c>
      <c r="O26" s="41">
        <f>'Debt Sizing'!$M$29</f>
        <v>73297449.711266473</v>
      </c>
      <c r="P26" s="41">
        <f>'Debt Sizing'!$N$29</f>
        <v>72681313.780273512</v>
      </c>
      <c r="Q26" s="41">
        <f>'Debt Sizing'!$O$29</f>
        <v>72052855.130660698</v>
      </c>
      <c r="R26" s="41">
        <f>'Debt Sizing'!$P$29</f>
        <v>71411827.308055624</v>
      </c>
      <c r="S26" s="41">
        <v>0</v>
      </c>
      <c r="T26" s="41">
        <v>0</v>
      </c>
      <c r="U26" s="41">
        <v>0</v>
      </c>
      <c r="V26" s="41">
        <v>0</v>
      </c>
      <c r="W26" s="41">
        <v>0</v>
      </c>
      <c r="X26" s="41">
        <v>0</v>
      </c>
      <c r="Y26" s="41">
        <v>0</v>
      </c>
      <c r="Z26" s="41">
        <v>0</v>
      </c>
      <c r="AA26" s="41">
        <v>0</v>
      </c>
      <c r="AB26" s="41">
        <v>0</v>
      </c>
    </row>
    <row r="27" spans="1:28" ht="15" customHeight="1" x14ac:dyDescent="0.2">
      <c r="A27" s="24" t="s">
        <v>165</v>
      </c>
      <c r="C27" s="41">
        <v>0</v>
      </c>
      <c r="D27" s="41">
        <f t="shared" ref="D27:AB27" si="5">D$26-D$25</f>
        <v>53764641.135862723</v>
      </c>
      <c r="E27" s="41">
        <f t="shared" si="5"/>
        <v>54763225.156673387</v>
      </c>
      <c r="F27" s="41">
        <f t="shared" si="5"/>
        <v>55779649.120295271</v>
      </c>
      <c r="G27" s="41">
        <f t="shared" si="5"/>
        <v>56814210.584596567</v>
      </c>
      <c r="H27" s="41">
        <f t="shared" si="5"/>
        <v>57867211.412295774</v>
      </c>
      <c r="I27" s="41">
        <f t="shared" si="5"/>
        <v>58938957.811307795</v>
      </c>
      <c r="J27" s="41">
        <f t="shared" si="5"/>
        <v>60029760.374625653</v>
      </c>
      <c r="K27" s="41">
        <f t="shared" si="5"/>
        <v>61139934.119692944</v>
      </c>
      <c r="L27" s="41">
        <f t="shared" si="5"/>
        <v>62269798.527220786</v>
      </c>
      <c r="M27" s="41">
        <f t="shared" si="5"/>
        <v>63419677.579400644</v>
      </c>
      <c r="N27" s="41">
        <f t="shared" si="5"/>
        <v>64589899.797462784</v>
      </c>
      <c r="O27" s="41">
        <f t="shared" si="5"/>
        <v>65780798.278527439</v>
      </c>
      <c r="P27" s="41">
        <f t="shared" si="5"/>
        <v>66992710.731694758</v>
      </c>
      <c r="Q27" s="41">
        <f t="shared" si="5"/>
        <v>68225979.513315737</v>
      </c>
      <c r="R27" s="41">
        <f t="shared" si="5"/>
        <v>69480951.661385715</v>
      </c>
      <c r="S27" s="41">
        <f t="shared" si="5"/>
        <v>0</v>
      </c>
      <c r="T27" s="41">
        <f t="shared" si="5"/>
        <v>0</v>
      </c>
      <c r="U27" s="41">
        <f t="shared" si="5"/>
        <v>0</v>
      </c>
      <c r="V27" s="41">
        <f t="shared" si="5"/>
        <v>0</v>
      </c>
      <c r="W27" s="41">
        <f t="shared" si="5"/>
        <v>0</v>
      </c>
      <c r="X27" s="41">
        <f t="shared" si="5"/>
        <v>0</v>
      </c>
      <c r="Y27" s="41">
        <f t="shared" si="5"/>
        <v>0</v>
      </c>
      <c r="Z27" s="41">
        <f t="shared" si="5"/>
        <v>0</v>
      </c>
      <c r="AA27" s="41">
        <f t="shared" si="5"/>
        <v>0</v>
      </c>
      <c r="AB27" s="41">
        <f t="shared" si="5"/>
        <v>0</v>
      </c>
    </row>
    <row r="28" spans="1:28" ht="15" customHeight="1" x14ac:dyDescent="0.2">
      <c r="A28" s="24" t="s">
        <v>166</v>
      </c>
      <c r="C28" s="41">
        <v>0</v>
      </c>
      <c r="D28" s="41">
        <f t="shared" ref="D28:AB28" si="6">MAX(0,D$24-D$27)</f>
        <v>866092764.66849554</v>
      </c>
      <c r="E28" s="41">
        <f t="shared" si="6"/>
        <v>811329539.5118221</v>
      </c>
      <c r="F28" s="41">
        <f t="shared" si="6"/>
        <v>755549890.39152682</v>
      </c>
      <c r="G28" s="41">
        <f t="shared" si="6"/>
        <v>698735679.8069303</v>
      </c>
      <c r="H28" s="41">
        <f t="shared" si="6"/>
        <v>640868468.39463449</v>
      </c>
      <c r="I28" s="41">
        <f t="shared" si="6"/>
        <v>581929510.5833267</v>
      </c>
      <c r="J28" s="41">
        <f t="shared" si="6"/>
        <v>521899750.20870101</v>
      </c>
      <c r="K28" s="41">
        <f t="shared" si="6"/>
        <v>460759816.08900809</v>
      </c>
      <c r="L28" s="41">
        <f t="shared" si="6"/>
        <v>398490017.56178731</v>
      </c>
      <c r="M28" s="41">
        <f t="shared" si="6"/>
        <v>335070339.98238665</v>
      </c>
      <c r="N28" s="41">
        <f t="shared" si="6"/>
        <v>270480440.18492389</v>
      </c>
      <c r="O28" s="41">
        <f t="shared" si="6"/>
        <v>204699641.90639645</v>
      </c>
      <c r="P28" s="41">
        <f t="shared" si="6"/>
        <v>137706931.17470169</v>
      </c>
      <c r="Q28" s="41">
        <f t="shared" si="6"/>
        <v>69480951.661385953</v>
      </c>
      <c r="R28" s="41">
        <f t="shared" si="6"/>
        <v>2.384185791015625E-7</v>
      </c>
      <c r="S28" s="41">
        <f t="shared" si="6"/>
        <v>0</v>
      </c>
      <c r="T28" s="41">
        <f t="shared" si="6"/>
        <v>0</v>
      </c>
      <c r="U28" s="41">
        <f t="shared" si="6"/>
        <v>0</v>
      </c>
      <c r="V28" s="41">
        <f t="shared" si="6"/>
        <v>0</v>
      </c>
      <c r="W28" s="41">
        <f t="shared" si="6"/>
        <v>0</v>
      </c>
      <c r="X28" s="41">
        <f t="shared" si="6"/>
        <v>0</v>
      </c>
      <c r="Y28" s="41">
        <f t="shared" si="6"/>
        <v>0</v>
      </c>
      <c r="Z28" s="41">
        <f t="shared" si="6"/>
        <v>0</v>
      </c>
      <c r="AA28" s="41">
        <f t="shared" si="6"/>
        <v>0</v>
      </c>
      <c r="AB28" s="41">
        <f t="shared" si="6"/>
        <v>0</v>
      </c>
    </row>
    <row r="29" spans="1:28" ht="15" customHeight="1" x14ac:dyDescent="0.2">
      <c r="A29" s="38" t="s">
        <v>167</v>
      </c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38"/>
      <c r="AB29" s="38"/>
    </row>
    <row r="30" spans="1:28" ht="15" customHeight="1" x14ac:dyDescent="0.2">
      <c r="A30" s="24" t="s">
        <v>168</v>
      </c>
      <c r="C30" s="42">
        <v>0</v>
      </c>
      <c r="D30" s="42">
        <f>IF(D$4&lt;2022,Assumptions!$B$44,IF(D$4&lt;2025,Assumptions!$B$45,Assumptions!$B$46))</f>
        <v>0.3</v>
      </c>
      <c r="E30" s="42">
        <f>IF(E$4&lt;2022,Assumptions!$B$44,IF(E$4&lt;2025,Assumptions!$B$45,Assumptions!$B$46))</f>
        <v>0.2</v>
      </c>
      <c r="F30" s="42">
        <f>IF(F$4&lt;2022,Assumptions!$B$44,IF(F$4&lt;2025,Assumptions!$B$45,Assumptions!$B$46))</f>
        <v>0.2</v>
      </c>
      <c r="G30" s="42">
        <f>IF(G$4&lt;2022,Assumptions!$B$44,IF(G$4&lt;2025,Assumptions!$B$45,Assumptions!$B$46))</f>
        <v>0.2</v>
      </c>
      <c r="H30" s="42">
        <f>IF(H$4&lt;2022,Assumptions!$B$44,IF(H$4&lt;2025,Assumptions!$B$45,Assumptions!$B$46))</f>
        <v>0.245</v>
      </c>
      <c r="I30" s="42">
        <f>IF(I$4&lt;2022,Assumptions!$B$44,IF(I$4&lt;2025,Assumptions!$B$45,Assumptions!$B$46))</f>
        <v>0.245</v>
      </c>
      <c r="J30" s="42">
        <f>IF(J$4&lt;2022,Assumptions!$B$44,IF(J$4&lt;2025,Assumptions!$B$45,Assumptions!$B$46))</f>
        <v>0.245</v>
      </c>
      <c r="K30" s="42">
        <f>IF(K$4&lt;2022,Assumptions!$B$44,IF(K$4&lt;2025,Assumptions!$B$45,Assumptions!$B$46))</f>
        <v>0.245</v>
      </c>
      <c r="L30" s="42">
        <f>IF(L$4&lt;2022,Assumptions!$B$44,IF(L$4&lt;2025,Assumptions!$B$45,Assumptions!$B$46))</f>
        <v>0.245</v>
      </c>
      <c r="M30" s="42">
        <f>IF(M$4&lt;2022,Assumptions!$B$44,IF(M$4&lt;2025,Assumptions!$B$45,Assumptions!$B$46))</f>
        <v>0.245</v>
      </c>
      <c r="N30" s="42">
        <f>IF(N$4&lt;2022,Assumptions!$B$44,IF(N$4&lt;2025,Assumptions!$B$45,Assumptions!$B$46))</f>
        <v>0.245</v>
      </c>
      <c r="O30" s="42">
        <f>IF(O$4&lt;2022,Assumptions!$B$44,IF(O$4&lt;2025,Assumptions!$B$45,Assumptions!$B$46))</f>
        <v>0.245</v>
      </c>
      <c r="P30" s="42">
        <f>IF(P$4&lt;2022,Assumptions!$B$44,IF(P$4&lt;2025,Assumptions!$B$45,Assumptions!$B$46))</f>
        <v>0.245</v>
      </c>
      <c r="Q30" s="42">
        <f>IF(Q$4&lt;2022,Assumptions!$B$44,IF(Q$4&lt;2025,Assumptions!$B$45,Assumptions!$B$46))</f>
        <v>0.245</v>
      </c>
      <c r="R30" s="42">
        <f>IF(R$4&lt;2022,Assumptions!$B$44,IF(R$4&lt;2025,Assumptions!$B$45,Assumptions!$B$46))</f>
        <v>0.245</v>
      </c>
      <c r="S30" s="42">
        <f>IF(S$4&lt;2022,Assumptions!$B$44,IF(S$4&lt;2025,Assumptions!$B$45,Assumptions!$B$46))</f>
        <v>0.245</v>
      </c>
      <c r="T30" s="42">
        <f>IF(T$4&lt;2022,Assumptions!$B$44,IF(T$4&lt;2025,Assumptions!$B$45,Assumptions!$B$46))</f>
        <v>0.245</v>
      </c>
      <c r="U30" s="42">
        <f>IF(U$4&lt;2022,Assumptions!$B$44,IF(U$4&lt;2025,Assumptions!$B$45,Assumptions!$B$46))</f>
        <v>0.245</v>
      </c>
      <c r="V30" s="42">
        <f>IF(V$4&lt;2022,Assumptions!$B$44,IF(V$4&lt;2025,Assumptions!$B$45,Assumptions!$B$46))</f>
        <v>0.245</v>
      </c>
      <c r="W30" s="42">
        <f>IF(W$4&lt;2022,Assumptions!$B$44,IF(W$4&lt;2025,Assumptions!$B$45,Assumptions!$B$46))</f>
        <v>0.245</v>
      </c>
      <c r="X30" s="42">
        <f>IF(X$4&lt;2022,Assumptions!$B$44,IF(X$4&lt;2025,Assumptions!$B$45,Assumptions!$B$46))</f>
        <v>0.245</v>
      </c>
      <c r="Y30" s="42">
        <f>IF(Y$4&lt;2022,Assumptions!$B$44,IF(Y$4&lt;2025,Assumptions!$B$45,Assumptions!$B$46))</f>
        <v>0.245</v>
      </c>
      <c r="Z30" s="42">
        <f>IF(Z$4&lt;2022,Assumptions!$B$44,IF(Z$4&lt;2025,Assumptions!$B$45,Assumptions!$B$46))</f>
        <v>0.245</v>
      </c>
      <c r="AA30" s="42">
        <f>IF(AA$4&lt;2022,Assumptions!$B$44,IF(AA$4&lt;2025,Assumptions!$B$45,Assumptions!$B$46))</f>
        <v>0.245</v>
      </c>
      <c r="AB30" s="42">
        <f>IF(AB$4&lt;2022,Assumptions!$B$44,IF(AB$4&lt;2025,Assumptions!$B$45,Assumptions!$B$46))</f>
        <v>0.245</v>
      </c>
    </row>
    <row r="31" spans="1:28" ht="15" customHeight="1" x14ac:dyDescent="0.2">
      <c r="A31" s="24" t="s">
        <v>169</v>
      </c>
      <c r="C31" s="41">
        <v>0</v>
      </c>
      <c r="D31" s="41">
        <f>MAX(Assumptions!$B$43,D$30*D$21)</f>
        <v>53257798.079999998</v>
      </c>
      <c r="E31" s="41">
        <f>MAX(Assumptions!$B$43,E$30*E$21)</f>
        <v>35257477.286399998</v>
      </c>
      <c r="F31" s="41">
        <f>MAX(Assumptions!$B$43,F$30*F$21)</f>
        <v>35004801.424128003</v>
      </c>
      <c r="G31" s="41">
        <f>MAX(Assumptions!$B$43,G$30*G$21)</f>
        <v>34747072.04461056</v>
      </c>
      <c r="H31" s="41">
        <f>MAX(Assumptions!$B$43,H$30*H$21)</f>
        <v>42243130.394940898</v>
      </c>
      <c r="I31" s="41">
        <f>MAX(Assumptions!$B$43,I$30*I$21)</f>
        <v>41914656.87803971</v>
      </c>
      <c r="J31" s="41">
        <f>MAX(Assumptions!$B$43,J$30*J$21)</f>
        <v>41579613.890800506</v>
      </c>
      <c r="K31" s="41">
        <f>MAX(Assumptions!$B$43,K$30*K$21)</f>
        <v>41237870.043816522</v>
      </c>
      <c r="L31" s="41">
        <f>MAX(Assumptions!$B$43,L$30*L$21)</f>
        <v>40889291.319892846</v>
      </c>
      <c r="M31" s="41">
        <f>MAX(Assumptions!$B$43,M$30*M$21)</f>
        <v>40533741.021490708</v>
      </c>
      <c r="N31" s="41">
        <f>MAX(Assumptions!$B$43,N$30*N$21)</f>
        <v>40171079.717120521</v>
      </c>
      <c r="O31" s="41">
        <f>MAX(Assumptions!$B$43,O$30*O$21)</f>
        <v>39801165.186662927</v>
      </c>
      <c r="P31" s="41">
        <f>MAX(Assumptions!$B$43,P$30*P$21)</f>
        <v>39423852.36559619</v>
      </c>
      <c r="Q31" s="41">
        <f>MAX(Assumptions!$B$43,Q$30*Q$21)</f>
        <v>39038993.28810811</v>
      </c>
      <c r="R31" s="41">
        <f>MAX(Assumptions!$B$43,R$30*R$21)</f>
        <v>38646437.029070273</v>
      </c>
      <c r="S31" s="41">
        <f>MAX(Assumptions!$B$43,S$30*S$21)</f>
        <v>3788359.4048516853</v>
      </c>
      <c r="T31" s="41">
        <f>MAX(Assumptions!$B$43,T$30*T$21)</f>
        <v>3379943.872948715</v>
      </c>
      <c r="U31" s="41">
        <f>MAX(Assumptions!$B$43,U$30*U$21)</f>
        <v>2963360.030407683</v>
      </c>
      <c r="V31" s="41">
        <f>MAX(Assumptions!$B$43,V$30*V$21)</f>
        <v>2538444.5110158455</v>
      </c>
      <c r="W31" s="41">
        <f>MAX(Assumptions!$B$43,W$30*W$21)</f>
        <v>2105030.6812361605</v>
      </c>
      <c r="X31" s="41">
        <f>MAX(Assumptions!$B$43,X$30*X$21)</f>
        <v>1662948.5748608813</v>
      </c>
      <c r="Y31" s="41">
        <f>MAX(Assumptions!$B$43,Y$30*Y$21)</f>
        <v>1212024.8263581018</v>
      </c>
      <c r="Z31" s="41">
        <f>MAX(Assumptions!$B$43,Z$30*Z$21)</f>
        <v>1000000</v>
      </c>
      <c r="AA31" s="41">
        <f>MAX(Assumptions!$B$43,AA$30*AA$21)</f>
        <v>1000000</v>
      </c>
      <c r="AB31" s="41">
        <f>MAX(Assumptions!$B$43,AB$30*AB$21)</f>
        <v>1000000</v>
      </c>
    </row>
    <row r="32" spans="1:28" ht="15" customHeight="1" x14ac:dyDescent="0.2">
      <c r="A32" s="24" t="s">
        <v>170</v>
      </c>
      <c r="C32" s="41">
        <v>0</v>
      </c>
      <c r="D32" s="41">
        <f t="shared" ref="D32:AB32" si="7">MIN(D$25,D$31)</f>
        <v>25562837.307303116</v>
      </c>
      <c r="E32" s="41">
        <f t="shared" si="7"/>
        <v>24068717.930137489</v>
      </c>
      <c r="F32" s="41">
        <f t="shared" si="7"/>
        <v>22546847.903033536</v>
      </c>
      <c r="G32" s="41">
        <f t="shared" si="7"/>
        <v>20996731.453980528</v>
      </c>
      <c r="H32" s="41">
        <f t="shared" si="7"/>
        <v>19417864.541834593</v>
      </c>
      <c r="I32" s="41">
        <f t="shared" si="7"/>
        <v>17809734.736686893</v>
      </c>
      <c r="J32" s="41">
        <f t="shared" si="7"/>
        <v>16171821.099110648</v>
      </c>
      <c r="K32" s="41">
        <f t="shared" si="7"/>
        <v>14503594.0582998</v>
      </c>
      <c r="L32" s="41">
        <f t="shared" si="7"/>
        <v>12804515.289113535</v>
      </c>
      <c r="M32" s="41">
        <f t="shared" si="7"/>
        <v>11074037.588042069</v>
      </c>
      <c r="N32" s="41">
        <f t="shared" si="7"/>
        <v>9311604.7481105253</v>
      </c>
      <c r="O32" s="41">
        <f t="shared" si="7"/>
        <v>7516651.4327390343</v>
      </c>
      <c r="P32" s="41">
        <f t="shared" si="7"/>
        <v>5688603.0485787569</v>
      </c>
      <c r="Q32" s="41">
        <f t="shared" si="7"/>
        <v>3826875.6173449596</v>
      </c>
      <c r="R32" s="41">
        <f t="shared" si="7"/>
        <v>1930875.6466699156</v>
      </c>
      <c r="S32" s="41">
        <f t="shared" si="7"/>
        <v>0</v>
      </c>
      <c r="T32" s="41">
        <f t="shared" si="7"/>
        <v>0</v>
      </c>
      <c r="U32" s="41">
        <f t="shared" si="7"/>
        <v>0</v>
      </c>
      <c r="V32" s="41">
        <f t="shared" si="7"/>
        <v>0</v>
      </c>
      <c r="W32" s="41">
        <f t="shared" si="7"/>
        <v>0</v>
      </c>
      <c r="X32" s="41">
        <f t="shared" si="7"/>
        <v>0</v>
      </c>
      <c r="Y32" s="41">
        <f t="shared" si="7"/>
        <v>0</v>
      </c>
      <c r="Z32" s="41">
        <f t="shared" si="7"/>
        <v>0</v>
      </c>
      <c r="AA32" s="41">
        <f t="shared" si="7"/>
        <v>0</v>
      </c>
      <c r="AB32" s="41">
        <f t="shared" si="7"/>
        <v>0</v>
      </c>
    </row>
    <row r="33" spans="1:28" ht="15" customHeight="1" x14ac:dyDescent="0.2">
      <c r="A33" s="24" t="s">
        <v>171</v>
      </c>
      <c r="C33" s="41">
        <v>0</v>
      </c>
      <c r="D33" s="41">
        <f t="shared" ref="D33:AB33" si="8">D$21-D$22-D$32</f>
        <v>92323156.292696878</v>
      </c>
      <c r="E33" s="41">
        <f t="shared" si="8"/>
        <v>92578668.501862496</v>
      </c>
      <c r="F33" s="41">
        <f t="shared" si="8"/>
        <v>92837159.21760647</v>
      </c>
      <c r="G33" s="41">
        <f t="shared" si="8"/>
        <v>93098628.769072264</v>
      </c>
      <c r="H33" s="41">
        <f t="shared" si="8"/>
        <v>93363075.845679283</v>
      </c>
      <c r="I33" s="41">
        <f t="shared" si="8"/>
        <v>93630497.418577254</v>
      </c>
      <c r="J33" s="41">
        <f t="shared" si="8"/>
        <v>93900888.659258768</v>
      </c>
      <c r="K33" s="41">
        <f t="shared" si="8"/>
        <v>94174242.855237022</v>
      </c>
      <c r="L33" s="41">
        <f t="shared" si="8"/>
        <v>94450551.322693989</v>
      </c>
      <c r="M33" s="41">
        <f t="shared" si="8"/>
        <v>94729803.316001639</v>
      </c>
      <c r="N33" s="41">
        <f t="shared" si="8"/>
        <v>95011985.934014052</v>
      </c>
      <c r="O33" s="41">
        <f t="shared" si="8"/>
        <v>95297084.023028031</v>
      </c>
      <c r="P33" s="41">
        <f t="shared" si="8"/>
        <v>95585080.076303646</v>
      </c>
      <c r="Q33" s="41">
        <f t="shared" si="8"/>
        <v>95875954.130035087</v>
      </c>
      <c r="R33" s="41">
        <f t="shared" si="8"/>
        <v>96169683.655657724</v>
      </c>
      <c r="S33" s="41">
        <f t="shared" si="8"/>
        <v>-44177308.551625773</v>
      </c>
      <c r="T33" s="41">
        <f t="shared" si="8"/>
        <v>-45844310.722658306</v>
      </c>
      <c r="U33" s="41">
        <f t="shared" si="8"/>
        <v>-47544652.937111497</v>
      </c>
      <c r="V33" s="41">
        <f t="shared" si="8"/>
        <v>-49279001.995853692</v>
      </c>
      <c r="W33" s="41">
        <f t="shared" si="8"/>
        <v>-51048038.035770774</v>
      </c>
      <c r="X33" s="41">
        <f t="shared" si="8"/>
        <v>-52852454.796486199</v>
      </c>
      <c r="Y33" s="41">
        <f t="shared" si="8"/>
        <v>-54692959.892415911</v>
      </c>
      <c r="Z33" s="41">
        <f t="shared" si="8"/>
        <v>-56570275.090264231</v>
      </c>
      <c r="AA33" s="41">
        <f t="shared" si="8"/>
        <v>-58485136.592069492</v>
      </c>
      <c r="AB33" s="41">
        <f t="shared" si="8"/>
        <v>-60438295.323910892</v>
      </c>
    </row>
    <row r="34" spans="1:28" ht="15" customHeight="1" x14ac:dyDescent="0.2">
      <c r="A34" s="24" t="s">
        <v>172</v>
      </c>
      <c r="C34" s="41">
        <v>0</v>
      </c>
      <c r="D34" s="41">
        <f>-IF(D$33&lt;=0,0,IF(D$33&lt;=Assumptions!$B$40,D$33*Assumptions!$B$41,Assumptions!$B$40*Assumptions!$B$41+(D$33-Assumptions!$B$40)*Assumptions!$B$42))</f>
        <v>-23805774.323515795</v>
      </c>
      <c r="E34" s="41">
        <f>-IF(E$33&lt;=0,0,IF(E$33&lt;=Assumptions!$B$40,E$33*Assumptions!$B$41,Assumptions!$B$40*Assumptions!$B$41+(E$33-Assumptions!$B$40)*Assumptions!$B$42))</f>
        <v>-23871696.473480526</v>
      </c>
      <c r="F34" s="41">
        <f>-IF(F$33&lt;=0,0,IF(F$33&lt;=Assumptions!$B$40,F$33*Assumptions!$B$41,Assumptions!$B$40*Assumptions!$B$41+(F$33-Assumptions!$B$40)*Assumptions!$B$42))</f>
        <v>-23938387.078142472</v>
      </c>
      <c r="G34" s="41">
        <f>-IF(G$33&lt;=0,0,IF(G$33&lt;=Assumptions!$B$40,G$33*Assumptions!$B$41,Assumptions!$B$40*Assumptions!$B$41+(G$33-Assumptions!$B$40)*Assumptions!$B$42))</f>
        <v>-24005846.222420644</v>
      </c>
      <c r="H34" s="41">
        <f>-IF(H$33&lt;=0,0,IF(H$33&lt;=Assumptions!$B$40,H$33*Assumptions!$B$41,Assumptions!$B$40*Assumptions!$B$41+(H$33-Assumptions!$B$40)*Assumptions!$B$42))</f>
        <v>-24074073.568185255</v>
      </c>
      <c r="I34" s="41">
        <f>-IF(I$33&lt;=0,0,IF(I$33&lt;=Assumptions!$B$40,I$33*Assumptions!$B$41,Assumptions!$B$40*Assumptions!$B$41+(I$33-Assumptions!$B$40)*Assumptions!$B$42))</f>
        <v>-24143068.333992932</v>
      </c>
      <c r="J34" s="41">
        <f>-IF(J$33&lt;=0,0,IF(J$33&lt;=Assumptions!$B$40,J$33*Assumptions!$B$41,Assumptions!$B$40*Assumptions!$B$41+(J$33-Assumptions!$B$40)*Assumptions!$B$42))</f>
        <v>-24212829.274088763</v>
      </c>
      <c r="K34" s="41">
        <f>-IF(K$33&lt;=0,0,IF(K$33&lt;=Assumptions!$B$40,K$33*Assumptions!$B$41,Assumptions!$B$40*Assumptions!$B$41+(K$33-Assumptions!$B$40)*Assumptions!$B$42))</f>
        <v>-24283354.656651154</v>
      </c>
      <c r="L34" s="41">
        <f>-IF(L$33&lt;=0,0,IF(L$33&lt;=Assumptions!$B$40,L$33*Assumptions!$B$41,Assumptions!$B$40*Assumptions!$B$41+(L$33-Assumptions!$B$40)*Assumptions!$B$42))</f>
        <v>-24354642.241255049</v>
      </c>
      <c r="M34" s="41">
        <f>-IF(M$33&lt;=0,0,IF(M$33&lt;=Assumptions!$B$40,M$33*Assumptions!$B$41,Assumptions!$B$40*Assumptions!$B$41+(M$33-Assumptions!$B$40)*Assumptions!$B$42))</f>
        <v>-24426689.255528424</v>
      </c>
      <c r="N34" s="41">
        <f>-IF(N$33&lt;=0,0,IF(N$33&lt;=Assumptions!$B$40,N$33*Assumptions!$B$41,Assumptions!$B$40*Assumptions!$B$41+(N$33-Assumptions!$B$40)*Assumptions!$B$42))</f>
        <v>-24499492.370975625</v>
      </c>
      <c r="O34" s="41">
        <f>-IF(O$33&lt;=0,0,IF(O$33&lt;=Assumptions!$B$40,O$33*Assumptions!$B$41,Assumptions!$B$40*Assumptions!$B$41+(O$33-Assumptions!$B$40)*Assumptions!$B$42))</f>
        <v>-24573047.677941233</v>
      </c>
      <c r="P34" s="41">
        <f>-IF(P$33&lt;=0,0,IF(P$33&lt;=Assumptions!$B$40,P$33*Assumptions!$B$41,Assumptions!$B$40*Assumptions!$B$41+(P$33-Assumptions!$B$40)*Assumptions!$B$42))</f>
        <v>-24647350.659686342</v>
      </c>
      <c r="Q34" s="41">
        <f>-IF(Q$33&lt;=0,0,IF(Q$33&lt;=Assumptions!$B$40,Q$33*Assumptions!$B$41,Assumptions!$B$40*Assumptions!$B$41+(Q$33-Assumptions!$B$40)*Assumptions!$B$42))</f>
        <v>-24722396.165549055</v>
      </c>
      <c r="R34" s="41">
        <f>-IF(R$33&lt;=0,0,IF(R$33&lt;=Assumptions!$B$40,R$33*Assumptions!$B$41,Assumptions!$B$40*Assumptions!$B$41+(R$33-Assumptions!$B$40)*Assumptions!$B$42))</f>
        <v>-24798178.383159693</v>
      </c>
      <c r="S34" s="41">
        <f>-IF(S$33&lt;=0,0,IF(S$33&lt;=Assumptions!$B$40,S$33*Assumptions!$B$41,Assumptions!$B$40*Assumptions!$B$41+(S$33-Assumptions!$B$40)*Assumptions!$B$42))</f>
        <v>0</v>
      </c>
      <c r="T34" s="41">
        <f>-IF(T$33&lt;=0,0,IF(T$33&lt;=Assumptions!$B$40,T$33*Assumptions!$B$41,Assumptions!$B$40*Assumptions!$B$41+(T$33-Assumptions!$B$40)*Assumptions!$B$42))</f>
        <v>0</v>
      </c>
      <c r="U34" s="41">
        <f>-IF(U$33&lt;=0,0,IF(U$33&lt;=Assumptions!$B$40,U$33*Assumptions!$B$41,Assumptions!$B$40*Assumptions!$B$41+(U$33-Assumptions!$B$40)*Assumptions!$B$42))</f>
        <v>0</v>
      </c>
      <c r="V34" s="41">
        <f>-IF(V$33&lt;=0,0,IF(V$33&lt;=Assumptions!$B$40,V$33*Assumptions!$B$41,Assumptions!$B$40*Assumptions!$B$41+(V$33-Assumptions!$B$40)*Assumptions!$B$42))</f>
        <v>0</v>
      </c>
      <c r="W34" s="41">
        <f>-IF(W$33&lt;=0,0,IF(W$33&lt;=Assumptions!$B$40,W$33*Assumptions!$B$41,Assumptions!$B$40*Assumptions!$B$41+(W$33-Assumptions!$B$40)*Assumptions!$B$42))</f>
        <v>0</v>
      </c>
      <c r="X34" s="41">
        <f>-IF(X$33&lt;=0,0,IF(X$33&lt;=Assumptions!$B$40,X$33*Assumptions!$B$41,Assumptions!$B$40*Assumptions!$B$41+(X$33-Assumptions!$B$40)*Assumptions!$B$42))</f>
        <v>0</v>
      </c>
      <c r="Y34" s="41">
        <f>-IF(Y$33&lt;=0,0,IF(Y$33&lt;=Assumptions!$B$40,Y$33*Assumptions!$B$41,Assumptions!$B$40*Assumptions!$B$41+(Y$33-Assumptions!$B$40)*Assumptions!$B$42))</f>
        <v>0</v>
      </c>
      <c r="Z34" s="41">
        <f>-IF(Z$33&lt;=0,0,IF(Z$33&lt;=Assumptions!$B$40,Z$33*Assumptions!$B$41,Assumptions!$B$40*Assumptions!$B$41+(Z$33-Assumptions!$B$40)*Assumptions!$B$42))</f>
        <v>0</v>
      </c>
      <c r="AA34" s="41">
        <f>-IF(AA$33&lt;=0,0,IF(AA$33&lt;=Assumptions!$B$40,AA$33*Assumptions!$B$41,Assumptions!$B$40*Assumptions!$B$41+(AA$33-Assumptions!$B$40)*Assumptions!$B$42))</f>
        <v>0</v>
      </c>
      <c r="AB34" s="41">
        <f>-IF(AB$33&lt;=0,0,IF(AB$33&lt;=Assumptions!$B$40,AB$33*Assumptions!$B$41,Assumptions!$B$40*Assumptions!$B$41+(AB$33-Assumptions!$B$40)*Assumptions!$B$42))</f>
        <v>0</v>
      </c>
    </row>
    <row r="35" spans="1:28" ht="15" customHeight="1" x14ac:dyDescent="0.2">
      <c r="A35" s="38" t="s">
        <v>173</v>
      </c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  <c r="AA35" s="38"/>
      <c r="AB35" s="38"/>
    </row>
    <row r="36" spans="1:28" ht="15" customHeight="1" x14ac:dyDescent="0.2">
      <c r="A36" s="24" t="s">
        <v>174</v>
      </c>
      <c r="C36" s="41">
        <f>-Assumptions!$B$13</f>
        <v>-1491000000</v>
      </c>
      <c r="D36" s="41">
        <v>0</v>
      </c>
      <c r="E36" s="41">
        <v>0</v>
      </c>
      <c r="F36" s="41">
        <v>0</v>
      </c>
      <c r="G36" s="41">
        <v>0</v>
      </c>
      <c r="H36" s="41">
        <v>0</v>
      </c>
      <c r="I36" s="41">
        <v>0</v>
      </c>
      <c r="J36" s="41">
        <v>0</v>
      </c>
      <c r="K36" s="41">
        <v>0</v>
      </c>
      <c r="L36" s="41">
        <v>0</v>
      </c>
      <c r="M36" s="41">
        <v>0</v>
      </c>
      <c r="N36" s="41">
        <v>0</v>
      </c>
      <c r="O36" s="41">
        <v>0</v>
      </c>
      <c r="P36" s="41">
        <v>0</v>
      </c>
      <c r="Q36" s="41">
        <v>0</v>
      </c>
      <c r="R36" s="41">
        <v>0</v>
      </c>
      <c r="S36" s="41">
        <v>0</v>
      </c>
      <c r="T36" s="41">
        <v>0</v>
      </c>
      <c r="U36" s="41">
        <v>0</v>
      </c>
      <c r="V36" s="41">
        <v>0</v>
      </c>
      <c r="W36" s="41">
        <v>0</v>
      </c>
      <c r="X36" s="41">
        <v>0</v>
      </c>
      <c r="Y36" s="41">
        <v>0</v>
      </c>
      <c r="Z36" s="41">
        <v>0</v>
      </c>
      <c r="AA36" s="41">
        <v>0</v>
      </c>
      <c r="AB36" s="41">
        <v>0</v>
      </c>
    </row>
    <row r="37" spans="1:28" ht="15" customHeight="1" x14ac:dyDescent="0.2">
      <c r="A37" s="24" t="s">
        <v>175</v>
      </c>
      <c r="C37" s="41">
        <f>'Debt Sizing'!$B$23</f>
        <v>919857405.80435824</v>
      </c>
      <c r="D37" s="41">
        <v>0</v>
      </c>
      <c r="E37" s="41">
        <v>0</v>
      </c>
      <c r="F37" s="41">
        <v>0</v>
      </c>
      <c r="G37" s="41">
        <v>0</v>
      </c>
      <c r="H37" s="41">
        <v>0</v>
      </c>
      <c r="I37" s="41">
        <v>0</v>
      </c>
      <c r="J37" s="41">
        <v>0</v>
      </c>
      <c r="K37" s="41">
        <v>0</v>
      </c>
      <c r="L37" s="41">
        <v>0</v>
      </c>
      <c r="M37" s="41">
        <v>0</v>
      </c>
      <c r="N37" s="41">
        <v>0</v>
      </c>
      <c r="O37" s="41">
        <v>0</v>
      </c>
      <c r="P37" s="41">
        <v>0</v>
      </c>
      <c r="Q37" s="41">
        <v>0</v>
      </c>
      <c r="R37" s="41">
        <v>0</v>
      </c>
      <c r="S37" s="41">
        <v>0</v>
      </c>
      <c r="T37" s="41">
        <v>0</v>
      </c>
      <c r="U37" s="41">
        <v>0</v>
      </c>
      <c r="V37" s="41">
        <v>0</v>
      </c>
      <c r="W37" s="41">
        <v>0</v>
      </c>
      <c r="X37" s="41">
        <v>0</v>
      </c>
      <c r="Y37" s="41">
        <v>0</v>
      </c>
      <c r="Z37" s="41">
        <v>0</v>
      </c>
      <c r="AA37" s="41">
        <v>0</v>
      </c>
      <c r="AB37" s="41">
        <v>0</v>
      </c>
    </row>
    <row r="38" spans="1:28" ht="15" customHeight="1" x14ac:dyDescent="0.2">
      <c r="A38" s="24" t="s">
        <v>176</v>
      </c>
      <c r="C38" s="41">
        <f>-(C36+C37)+C41</f>
        <v>610806333.41722465</v>
      </c>
      <c r="D38" s="41">
        <v>0</v>
      </c>
      <c r="E38" s="41">
        <v>0</v>
      </c>
      <c r="F38" s="41">
        <v>0</v>
      </c>
      <c r="G38" s="41">
        <v>0</v>
      </c>
      <c r="H38" s="41">
        <v>0</v>
      </c>
      <c r="I38" s="41">
        <v>0</v>
      </c>
      <c r="J38" s="41">
        <v>0</v>
      </c>
      <c r="K38" s="41">
        <v>0</v>
      </c>
      <c r="L38" s="41">
        <v>0</v>
      </c>
      <c r="M38" s="41">
        <v>0</v>
      </c>
      <c r="N38" s="41">
        <v>0</v>
      </c>
      <c r="O38" s="41">
        <v>0</v>
      </c>
      <c r="P38" s="41">
        <v>0</v>
      </c>
      <c r="Q38" s="41">
        <v>0</v>
      </c>
      <c r="R38" s="41">
        <v>0</v>
      </c>
      <c r="S38" s="41">
        <v>0</v>
      </c>
      <c r="T38" s="41">
        <v>0</v>
      </c>
      <c r="U38" s="41">
        <v>0</v>
      </c>
      <c r="V38" s="41">
        <v>0</v>
      </c>
      <c r="W38" s="41">
        <v>0</v>
      </c>
      <c r="X38" s="41">
        <v>0</v>
      </c>
      <c r="Y38" s="41">
        <v>0</v>
      </c>
      <c r="Z38" s="41">
        <v>0</v>
      </c>
      <c r="AA38" s="41">
        <v>0</v>
      </c>
      <c r="AB38" s="41">
        <v>0</v>
      </c>
    </row>
    <row r="39" spans="1:28" ht="15" customHeight="1" x14ac:dyDescent="0.2">
      <c r="A39" s="24" t="s">
        <v>177</v>
      </c>
      <c r="C39" s="41">
        <v>0</v>
      </c>
      <c r="D39" s="41">
        <f t="shared" ref="D39:AB39" si="9">D$21+D$34</f>
        <v>153720219.27648419</v>
      </c>
      <c r="E39" s="41">
        <f t="shared" si="9"/>
        <v>152415689.95851946</v>
      </c>
      <c r="F39" s="41">
        <f t="shared" si="9"/>
        <v>151085620.04249755</v>
      </c>
      <c r="G39" s="41">
        <f t="shared" si="9"/>
        <v>149729514.00063217</v>
      </c>
      <c r="H39" s="41">
        <f t="shared" si="9"/>
        <v>148346866.81932861</v>
      </c>
      <c r="I39" s="41">
        <f t="shared" si="9"/>
        <v>146937163.82127121</v>
      </c>
      <c r="J39" s="41">
        <f t="shared" si="9"/>
        <v>145499880.48428065</v>
      </c>
      <c r="K39" s="41">
        <f t="shared" si="9"/>
        <v>144034482.25688565</v>
      </c>
      <c r="L39" s="41">
        <f t="shared" si="9"/>
        <v>142540424.37055248</v>
      </c>
      <c r="M39" s="41">
        <f t="shared" si="9"/>
        <v>141017151.64851528</v>
      </c>
      <c r="N39" s="41">
        <f t="shared" si="9"/>
        <v>139464098.31114897</v>
      </c>
      <c r="O39" s="41">
        <f t="shared" si="9"/>
        <v>137880687.77782583</v>
      </c>
      <c r="P39" s="41">
        <f t="shared" si="9"/>
        <v>136266332.46519607</v>
      </c>
      <c r="Q39" s="41">
        <f t="shared" si="9"/>
        <v>134620433.58183098</v>
      </c>
      <c r="R39" s="41">
        <f t="shared" si="9"/>
        <v>132942380.91916794</v>
      </c>
      <c r="S39" s="41">
        <f t="shared" si="9"/>
        <v>15462691.448374227</v>
      </c>
      <c r="T39" s="41">
        <f t="shared" si="9"/>
        <v>13795689.277341694</v>
      </c>
      <c r="U39" s="41">
        <f t="shared" si="9"/>
        <v>12095347.062888503</v>
      </c>
      <c r="V39" s="41">
        <f t="shared" si="9"/>
        <v>10360998.004146308</v>
      </c>
      <c r="W39" s="41">
        <f t="shared" si="9"/>
        <v>8591961.9642292261</v>
      </c>
      <c r="X39" s="41">
        <f t="shared" si="9"/>
        <v>6787545.2035138011</v>
      </c>
      <c r="Y39" s="41">
        <f t="shared" si="9"/>
        <v>4947040.107584089</v>
      </c>
      <c r="Z39" s="41">
        <f t="shared" si="9"/>
        <v>3069724.909735769</v>
      </c>
      <c r="AA39" s="41">
        <f t="shared" si="9"/>
        <v>1154863.4079305083</v>
      </c>
      <c r="AB39" s="41">
        <f t="shared" si="9"/>
        <v>-798295.32391089201</v>
      </c>
    </row>
    <row r="40" spans="1:28" ht="15" customHeight="1" x14ac:dyDescent="0.2">
      <c r="A40" s="24" t="s">
        <v>178</v>
      </c>
      <c r="C40" s="41">
        <v>0</v>
      </c>
      <c r="D40" s="41">
        <f t="shared" ref="D40:AB40" si="10">D$39-D$26</f>
        <v>74392740.833318353</v>
      </c>
      <c r="E40" s="41">
        <f t="shared" si="10"/>
        <v>73583746.871708587</v>
      </c>
      <c r="F40" s="41">
        <f t="shared" si="10"/>
        <v>72759123.019168735</v>
      </c>
      <c r="G40" s="41">
        <f t="shared" si="10"/>
        <v>71918571.962055072</v>
      </c>
      <c r="H40" s="41">
        <f t="shared" si="10"/>
        <v>71061790.86519824</v>
      </c>
      <c r="I40" s="41">
        <f t="shared" si="10"/>
        <v>70188471.273276523</v>
      </c>
      <c r="J40" s="41">
        <f t="shared" si="10"/>
        <v>69298299.010544345</v>
      </c>
      <c r="K40" s="41">
        <f t="shared" si="10"/>
        <v>68390954.078892902</v>
      </c>
      <c r="L40" s="41">
        <f t="shared" si="10"/>
        <v>67466110.554218158</v>
      </c>
      <c r="M40" s="41">
        <f t="shared" si="10"/>
        <v>66523436.481072575</v>
      </c>
      <c r="N40" s="41">
        <f t="shared" si="10"/>
        <v>65562593.765575662</v>
      </c>
      <c r="O40" s="41">
        <f t="shared" si="10"/>
        <v>64583238.066559359</v>
      </c>
      <c r="P40" s="41">
        <f t="shared" si="10"/>
        <v>63585018.684922561</v>
      </c>
      <c r="Q40" s="41">
        <f t="shared" si="10"/>
        <v>62567578.451170281</v>
      </c>
      <c r="R40" s="41">
        <f t="shared" si="10"/>
        <v>61530553.611112311</v>
      </c>
      <c r="S40" s="41">
        <f t="shared" si="10"/>
        <v>15462691.448374227</v>
      </c>
      <c r="T40" s="41">
        <f t="shared" si="10"/>
        <v>13795689.277341694</v>
      </c>
      <c r="U40" s="41">
        <f t="shared" si="10"/>
        <v>12095347.062888503</v>
      </c>
      <c r="V40" s="41">
        <f t="shared" si="10"/>
        <v>10360998.004146308</v>
      </c>
      <c r="W40" s="41">
        <f t="shared" si="10"/>
        <v>8591961.9642292261</v>
      </c>
      <c r="X40" s="41">
        <f t="shared" si="10"/>
        <v>6787545.2035138011</v>
      </c>
      <c r="Y40" s="41">
        <f t="shared" si="10"/>
        <v>4947040.107584089</v>
      </c>
      <c r="Z40" s="41">
        <f t="shared" si="10"/>
        <v>3069724.909735769</v>
      </c>
      <c r="AA40" s="41">
        <f t="shared" si="10"/>
        <v>1154863.4079305083</v>
      </c>
      <c r="AB40" s="41">
        <f t="shared" si="10"/>
        <v>-798295.32391089201</v>
      </c>
    </row>
    <row r="41" spans="1:28" ht="15" customHeight="1" x14ac:dyDescent="0.2">
      <c r="A41" s="24" t="s">
        <v>179</v>
      </c>
      <c r="C41" s="41">
        <f>'Debt Sizing'!$B$29*Assumptions!$B$38/12</f>
        <v>39663739.221582919</v>
      </c>
      <c r="D41" s="41">
        <f>E$26*Assumptions!$B$38/12</f>
        <v>39415971.543405436</v>
      </c>
      <c r="E41" s="41">
        <f>F$26*Assumptions!$B$38/12</f>
        <v>39163248.511664405</v>
      </c>
      <c r="F41" s="41">
        <f>G$26*Assumptions!$B$38/12</f>
        <v>38905471.019288547</v>
      </c>
      <c r="G41" s="41">
        <f>H$26*Assumptions!$B$38/12</f>
        <v>38642537.977065183</v>
      </c>
      <c r="H41" s="41">
        <f>I$26*Assumptions!$B$38/12</f>
        <v>38374346.273997344</v>
      </c>
      <c r="I41" s="41">
        <f>J$26*Assumptions!$B$38/12</f>
        <v>38100790.736868151</v>
      </c>
      <c r="J41" s="41">
        <f>K$26*Assumptions!$B$38/12</f>
        <v>37821764.088996373</v>
      </c>
      <c r="K41" s="41">
        <f>L$26*Assumptions!$B$38/12</f>
        <v>37537156.908167161</v>
      </c>
      <c r="L41" s="41">
        <f>M$26*Assumptions!$B$38/12</f>
        <v>37246857.583721355</v>
      </c>
      <c r="M41" s="41">
        <f>N$26*Assumptions!$B$38/12</f>
        <v>36950752.272786655</v>
      </c>
      <c r="N41" s="41">
        <f>O$26*Assumptions!$B$38/12</f>
        <v>36648724.855633236</v>
      </c>
      <c r="O41" s="41">
        <f>P$26*Assumptions!$B$38/12</f>
        <v>36340656.890136756</v>
      </c>
      <c r="P41" s="41">
        <f>Q$26*Assumptions!$B$38/12</f>
        <v>36026427.565330349</v>
      </c>
      <c r="Q41" s="41">
        <f>R$26*Assumptions!$B$38/12</f>
        <v>35705913.654027812</v>
      </c>
      <c r="R41" s="41">
        <f>S$26*Assumptions!$B$38/12</f>
        <v>0</v>
      </c>
      <c r="S41" s="41">
        <f>T$26*Assumptions!$B$38/12</f>
        <v>0</v>
      </c>
      <c r="T41" s="41">
        <f>U$26*Assumptions!$B$38/12</f>
        <v>0</v>
      </c>
      <c r="U41" s="41">
        <f>V$26*Assumptions!$B$38/12</f>
        <v>0</v>
      </c>
      <c r="V41" s="41">
        <f>W$26*Assumptions!$B$38/12</f>
        <v>0</v>
      </c>
      <c r="W41" s="41">
        <f>X$26*Assumptions!$B$38/12</f>
        <v>0</v>
      </c>
      <c r="X41" s="41">
        <f>Y$26*Assumptions!$B$38/12</f>
        <v>0</v>
      </c>
      <c r="Y41" s="41">
        <f>Z$26*Assumptions!$B$38/12</f>
        <v>0</v>
      </c>
      <c r="Z41" s="41">
        <f>AA$26*Assumptions!$B$38/12</f>
        <v>0</v>
      </c>
      <c r="AA41" s="41">
        <f>AB$26*Assumptions!$B$38/12</f>
        <v>0</v>
      </c>
      <c r="AB41" s="41">
        <v>0</v>
      </c>
    </row>
    <row r="42" spans="1:28" ht="15" customHeight="1" x14ac:dyDescent="0.2">
      <c r="A42" s="24" t="s">
        <v>180</v>
      </c>
      <c r="C42" s="41">
        <v>0</v>
      </c>
      <c r="D42" s="41">
        <f>D$41</f>
        <v>39415971.543405436</v>
      </c>
      <c r="E42" s="41">
        <f t="shared" ref="E42:AB42" si="11">D$41</f>
        <v>39415971.543405436</v>
      </c>
      <c r="F42" s="41">
        <f t="shared" si="11"/>
        <v>39163248.511664405</v>
      </c>
      <c r="G42" s="41">
        <f t="shared" si="11"/>
        <v>38905471.019288547</v>
      </c>
      <c r="H42" s="41">
        <f t="shared" si="11"/>
        <v>38642537.977065183</v>
      </c>
      <c r="I42" s="41">
        <f t="shared" si="11"/>
        <v>38374346.273997344</v>
      </c>
      <c r="J42" s="41">
        <f t="shared" si="11"/>
        <v>38100790.736868151</v>
      </c>
      <c r="K42" s="41">
        <f t="shared" si="11"/>
        <v>37821764.088996373</v>
      </c>
      <c r="L42" s="41">
        <f t="shared" si="11"/>
        <v>37537156.908167161</v>
      </c>
      <c r="M42" s="41">
        <f t="shared" si="11"/>
        <v>37246857.583721355</v>
      </c>
      <c r="N42" s="41">
        <f t="shared" si="11"/>
        <v>36950752.272786655</v>
      </c>
      <c r="O42" s="41">
        <f t="shared" si="11"/>
        <v>36648724.855633236</v>
      </c>
      <c r="P42" s="41">
        <f t="shared" si="11"/>
        <v>36340656.890136756</v>
      </c>
      <c r="Q42" s="41">
        <f t="shared" si="11"/>
        <v>36026427.565330349</v>
      </c>
      <c r="R42" s="41">
        <f t="shared" si="11"/>
        <v>35705913.654027812</v>
      </c>
      <c r="S42" s="41">
        <f t="shared" si="11"/>
        <v>0</v>
      </c>
      <c r="T42" s="41">
        <f t="shared" si="11"/>
        <v>0</v>
      </c>
      <c r="U42" s="41">
        <f t="shared" si="11"/>
        <v>0</v>
      </c>
      <c r="V42" s="41">
        <f t="shared" si="11"/>
        <v>0</v>
      </c>
      <c r="W42" s="41">
        <f t="shared" si="11"/>
        <v>0</v>
      </c>
      <c r="X42" s="41">
        <f t="shared" si="11"/>
        <v>0</v>
      </c>
      <c r="Y42" s="41">
        <f t="shared" si="11"/>
        <v>0</v>
      </c>
      <c r="Z42" s="41">
        <f t="shared" si="11"/>
        <v>0</v>
      </c>
      <c r="AA42" s="41">
        <f t="shared" si="11"/>
        <v>0</v>
      </c>
      <c r="AB42" s="41">
        <f t="shared" si="11"/>
        <v>0</v>
      </c>
    </row>
    <row r="43" spans="1:28" ht="15" customHeight="1" x14ac:dyDescent="0.2">
      <c r="A43" s="24" t="s">
        <v>181</v>
      </c>
      <c r="C43" s="41">
        <v>0</v>
      </c>
      <c r="D43" s="41">
        <f t="shared" ref="D43:AB43" si="12">D$41-D$42</f>
        <v>0</v>
      </c>
      <c r="E43" s="41">
        <f t="shared" si="12"/>
        <v>-252723.03174103051</v>
      </c>
      <c r="F43" s="41">
        <f t="shared" si="12"/>
        <v>-257777.49237585813</v>
      </c>
      <c r="G43" s="41">
        <f t="shared" si="12"/>
        <v>-262933.04222336411</v>
      </c>
      <c r="H43" s="41">
        <f t="shared" si="12"/>
        <v>-268191.70306783915</v>
      </c>
      <c r="I43" s="41">
        <f t="shared" si="12"/>
        <v>-273555.53712919354</v>
      </c>
      <c r="J43" s="41">
        <f t="shared" si="12"/>
        <v>-279026.64787177742</v>
      </c>
      <c r="K43" s="41">
        <f t="shared" si="12"/>
        <v>-284607.18082921207</v>
      </c>
      <c r="L43" s="41">
        <f t="shared" si="12"/>
        <v>-290299.32444580644</v>
      </c>
      <c r="M43" s="41">
        <f t="shared" si="12"/>
        <v>-296105.31093470007</v>
      </c>
      <c r="N43" s="41">
        <f t="shared" si="12"/>
        <v>-302027.41715341806</v>
      </c>
      <c r="O43" s="41">
        <f t="shared" si="12"/>
        <v>-308067.96549648046</v>
      </c>
      <c r="P43" s="41">
        <f t="shared" si="12"/>
        <v>-314229.32480640709</v>
      </c>
      <c r="Q43" s="41">
        <f t="shared" si="12"/>
        <v>-320513.91130253673</v>
      </c>
      <c r="R43" s="41">
        <f t="shared" si="12"/>
        <v>-35705913.654027812</v>
      </c>
      <c r="S43" s="41">
        <f t="shared" si="12"/>
        <v>0</v>
      </c>
      <c r="T43" s="41">
        <f t="shared" si="12"/>
        <v>0</v>
      </c>
      <c r="U43" s="41">
        <f t="shared" si="12"/>
        <v>0</v>
      </c>
      <c r="V43" s="41">
        <f t="shared" si="12"/>
        <v>0</v>
      </c>
      <c r="W43" s="41">
        <f t="shared" si="12"/>
        <v>0</v>
      </c>
      <c r="X43" s="41">
        <f t="shared" si="12"/>
        <v>0</v>
      </c>
      <c r="Y43" s="41">
        <f t="shared" si="12"/>
        <v>0</v>
      </c>
      <c r="Z43" s="41">
        <f t="shared" si="12"/>
        <v>0</v>
      </c>
      <c r="AA43" s="41">
        <f t="shared" si="12"/>
        <v>0</v>
      </c>
      <c r="AB43" s="41">
        <f t="shared" si="12"/>
        <v>0</v>
      </c>
    </row>
    <row r="44" spans="1:28" ht="15" customHeight="1" x14ac:dyDescent="0.2">
      <c r="A44" s="24" t="s">
        <v>182</v>
      </c>
      <c r="C44" s="41" t="s">
        <v>183</v>
      </c>
      <c r="D44" s="43">
        <f t="shared" ref="D44:AB44" si="13">IF(D$26=0,"n/a",D$39/D$26)</f>
        <v>1.9377928341264121</v>
      </c>
      <c r="E44" s="43">
        <f t="shared" si="13"/>
        <v>1.9334255124306285</v>
      </c>
      <c r="F44" s="43">
        <f t="shared" si="13"/>
        <v>1.9289209371574234</v>
      </c>
      <c r="G44" s="43">
        <f t="shared" si="13"/>
        <v>1.924273245868162</v>
      </c>
      <c r="H44" s="43">
        <f t="shared" si="13"/>
        <v>1.9194762376551753</v>
      </c>
      <c r="I44" s="43">
        <f t="shared" si="13"/>
        <v>1.9145233481258883</v>
      </c>
      <c r="J44" s="43">
        <f t="shared" si="13"/>
        <v>1.9094076221295848</v>
      </c>
      <c r="K44" s="43">
        <f t="shared" si="13"/>
        <v>1.9041216839855195</v>
      </c>
      <c r="L44" s="43">
        <f t="shared" si="13"/>
        <v>1.8986577049411433</v>
      </c>
      <c r="M44" s="43">
        <f t="shared" si="13"/>
        <v>1.8930073675550347</v>
      </c>
      <c r="N44" s="43">
        <f t="shared" si="13"/>
        <v>1.8871618266600345</v>
      </c>
      <c r="O44" s="43">
        <f t="shared" si="13"/>
        <v>1.881111666517264</v>
      </c>
      <c r="P44" s="43">
        <f t="shared" si="13"/>
        <v>1.8748468537201954</v>
      </c>
      <c r="Q44" s="43">
        <f t="shared" si="13"/>
        <v>1.8683566853486957</v>
      </c>
      <c r="R44" s="43">
        <f t="shared" si="13"/>
        <v>1.8616297318045432</v>
      </c>
      <c r="S44" s="43" t="str">
        <f t="shared" si="13"/>
        <v>n/a</v>
      </c>
      <c r="T44" s="43" t="str">
        <f t="shared" si="13"/>
        <v>n/a</v>
      </c>
      <c r="U44" s="43" t="str">
        <f t="shared" si="13"/>
        <v>n/a</v>
      </c>
      <c r="V44" s="43" t="str">
        <f t="shared" si="13"/>
        <v>n/a</v>
      </c>
      <c r="W44" s="43" t="str">
        <f t="shared" si="13"/>
        <v>n/a</v>
      </c>
      <c r="X44" s="43" t="str">
        <f t="shared" si="13"/>
        <v>n/a</v>
      </c>
      <c r="Y44" s="43" t="str">
        <f t="shared" si="13"/>
        <v>n/a</v>
      </c>
      <c r="Z44" s="43" t="str">
        <f t="shared" si="13"/>
        <v>n/a</v>
      </c>
      <c r="AA44" s="43" t="str">
        <f t="shared" si="13"/>
        <v>n/a</v>
      </c>
      <c r="AB44" s="43" t="str">
        <f t="shared" si="13"/>
        <v>n/a</v>
      </c>
    </row>
    <row r="45" spans="1:28" ht="15" customHeight="1" x14ac:dyDescent="0.2">
      <c r="A45" s="24" t="s">
        <v>184</v>
      </c>
      <c r="C45" s="41" t="s">
        <v>183</v>
      </c>
      <c r="D45" s="43">
        <f t="shared" ref="D45:AA45" si="14">IF(E$26=0,"n/a",E$39/E$26)</f>
        <v>1.9334255124306285</v>
      </c>
      <c r="E45" s="43">
        <f t="shared" si="14"/>
        <v>1.9289209371574234</v>
      </c>
      <c r="F45" s="43">
        <f t="shared" si="14"/>
        <v>1.924273245868162</v>
      </c>
      <c r="G45" s="43">
        <f t="shared" si="14"/>
        <v>1.9194762376551753</v>
      </c>
      <c r="H45" s="43">
        <f t="shared" si="14"/>
        <v>1.9145233481258883</v>
      </c>
      <c r="I45" s="43">
        <f t="shared" si="14"/>
        <v>1.9094076221295848</v>
      </c>
      <c r="J45" s="43">
        <f t="shared" si="14"/>
        <v>1.9041216839855195</v>
      </c>
      <c r="K45" s="43">
        <f t="shared" si="14"/>
        <v>1.8986577049411433</v>
      </c>
      <c r="L45" s="43">
        <f t="shared" si="14"/>
        <v>1.8930073675550347</v>
      </c>
      <c r="M45" s="43">
        <f t="shared" si="14"/>
        <v>1.8871618266600345</v>
      </c>
      <c r="N45" s="43">
        <f t="shared" si="14"/>
        <v>1.881111666517264</v>
      </c>
      <c r="O45" s="43">
        <f t="shared" si="14"/>
        <v>1.8748468537201954</v>
      </c>
      <c r="P45" s="43">
        <f t="shared" si="14"/>
        <v>1.8683566853486957</v>
      </c>
      <c r="Q45" s="43">
        <f t="shared" si="14"/>
        <v>1.8616297318045432</v>
      </c>
      <c r="R45" s="43" t="str">
        <f t="shared" si="14"/>
        <v>n/a</v>
      </c>
      <c r="S45" s="43" t="str">
        <f t="shared" si="14"/>
        <v>n/a</v>
      </c>
      <c r="T45" s="43" t="str">
        <f t="shared" si="14"/>
        <v>n/a</v>
      </c>
      <c r="U45" s="43" t="str">
        <f t="shared" si="14"/>
        <v>n/a</v>
      </c>
      <c r="V45" s="43" t="str">
        <f t="shared" si="14"/>
        <v>n/a</v>
      </c>
      <c r="W45" s="43" t="str">
        <f t="shared" si="14"/>
        <v>n/a</v>
      </c>
      <c r="X45" s="43" t="str">
        <f t="shared" si="14"/>
        <v>n/a</v>
      </c>
      <c r="Y45" s="43" t="str">
        <f t="shared" si="14"/>
        <v>n/a</v>
      </c>
      <c r="Z45" s="43" t="str">
        <f t="shared" si="14"/>
        <v>n/a</v>
      </c>
      <c r="AA45" s="43" t="str">
        <f t="shared" si="14"/>
        <v>n/a</v>
      </c>
      <c r="AB45" s="41" t="s">
        <v>183</v>
      </c>
    </row>
    <row r="46" spans="1:28" ht="15" customHeight="1" x14ac:dyDescent="0.2">
      <c r="A46" s="24" t="s">
        <v>185</v>
      </c>
      <c r="C46" s="41" t="s">
        <v>183</v>
      </c>
      <c r="D46" s="41" t="str">
        <f>IF(D$26=0,"n/a (unlevered)",IF(AND(D$44&gt;=Assumptions!$B$35,IFERROR(D$45&gt;=Assumptions!$B$35,TRUE())),"PASS","FAIL"))</f>
        <v>PASS</v>
      </c>
      <c r="E46" s="41" t="str">
        <f>IF(E$26=0,"n/a (unlevered)",IF(AND(E$44&gt;=Assumptions!$B$35,IFERROR(E$45&gt;=Assumptions!$B$35,TRUE())),"PASS","FAIL"))</f>
        <v>PASS</v>
      </c>
      <c r="F46" s="41" t="str">
        <f>IF(F$26=0,"n/a (unlevered)",IF(AND(F$44&gt;=Assumptions!$B$35,IFERROR(F$45&gt;=Assumptions!$B$35,TRUE())),"PASS","FAIL"))</f>
        <v>PASS</v>
      </c>
      <c r="G46" s="41" t="str">
        <f>IF(G$26=0,"n/a (unlevered)",IF(AND(G$44&gt;=Assumptions!$B$35,IFERROR(G$45&gt;=Assumptions!$B$35,TRUE())),"PASS","FAIL"))</f>
        <v>PASS</v>
      </c>
      <c r="H46" s="41" t="str">
        <f>IF(H$26=0,"n/a (unlevered)",IF(AND(H$44&gt;=Assumptions!$B$35,IFERROR(H$45&gt;=Assumptions!$B$35,TRUE())),"PASS","FAIL"))</f>
        <v>PASS</v>
      </c>
      <c r="I46" s="41" t="str">
        <f>IF(I$26=0,"n/a (unlevered)",IF(AND(I$44&gt;=Assumptions!$B$35,IFERROR(I$45&gt;=Assumptions!$B$35,TRUE())),"PASS","FAIL"))</f>
        <v>PASS</v>
      </c>
      <c r="J46" s="41" t="str">
        <f>IF(J$26=0,"n/a (unlevered)",IF(AND(J$44&gt;=Assumptions!$B$35,IFERROR(J$45&gt;=Assumptions!$B$35,TRUE())),"PASS","FAIL"))</f>
        <v>PASS</v>
      </c>
      <c r="K46" s="41" t="str">
        <f>IF(K$26=0,"n/a (unlevered)",IF(AND(K$44&gt;=Assumptions!$B$35,IFERROR(K$45&gt;=Assumptions!$B$35,TRUE())),"PASS","FAIL"))</f>
        <v>PASS</v>
      </c>
      <c r="L46" s="41" t="str">
        <f>IF(L$26=0,"n/a (unlevered)",IF(AND(L$44&gt;=Assumptions!$B$35,IFERROR(L$45&gt;=Assumptions!$B$35,TRUE())),"PASS","FAIL"))</f>
        <v>PASS</v>
      </c>
      <c r="M46" s="41" t="str">
        <f>IF(M$26=0,"n/a (unlevered)",IF(AND(M$44&gt;=Assumptions!$B$35,IFERROR(M$45&gt;=Assumptions!$B$35,TRUE())),"PASS","FAIL"))</f>
        <v>PASS</v>
      </c>
      <c r="N46" s="41" t="str">
        <f>IF(N$26=0,"n/a (unlevered)",IF(AND(N$44&gt;=Assumptions!$B$35,IFERROR(N$45&gt;=Assumptions!$B$35,TRUE())),"PASS","FAIL"))</f>
        <v>PASS</v>
      </c>
      <c r="O46" s="41" t="str">
        <f>IF(O$26=0,"n/a (unlevered)",IF(AND(O$44&gt;=Assumptions!$B$35,IFERROR(O$45&gt;=Assumptions!$B$35,TRUE())),"PASS","FAIL"))</f>
        <v>PASS</v>
      </c>
      <c r="P46" s="41" t="str">
        <f>IF(P$26=0,"n/a (unlevered)",IF(AND(P$44&gt;=Assumptions!$B$35,IFERROR(P$45&gt;=Assumptions!$B$35,TRUE())),"PASS","FAIL"))</f>
        <v>PASS</v>
      </c>
      <c r="Q46" s="41" t="str">
        <f>IF(Q$26=0,"n/a (unlevered)",IF(AND(Q$44&gt;=Assumptions!$B$35,IFERROR(Q$45&gt;=Assumptions!$B$35,TRUE())),"PASS","FAIL"))</f>
        <v>PASS</v>
      </c>
      <c r="R46" s="41" t="str">
        <f>IF(R$26=0,"n/a (unlevered)",IF(AND(R$44&gt;=Assumptions!$B$35,IFERROR(R$45&gt;=Assumptions!$B$35,TRUE())),"PASS","FAIL"))</f>
        <v>PASS</v>
      </c>
      <c r="S46" s="41" t="str">
        <f>IF(S$26=0,"n/a (unlevered)",IF(AND(S$44&gt;=Assumptions!$B$35,IFERROR(S$45&gt;=Assumptions!$B$35,TRUE())),"PASS","FAIL"))</f>
        <v>n/a (unlevered)</v>
      </c>
      <c r="T46" s="41" t="str">
        <f>IF(T$26=0,"n/a (unlevered)",IF(AND(T$44&gt;=Assumptions!$B$35,IFERROR(T$45&gt;=Assumptions!$B$35,TRUE())),"PASS","FAIL"))</f>
        <v>n/a (unlevered)</v>
      </c>
      <c r="U46" s="41" t="str">
        <f>IF(U$26=0,"n/a (unlevered)",IF(AND(U$44&gt;=Assumptions!$B$35,IFERROR(U$45&gt;=Assumptions!$B$35,TRUE())),"PASS","FAIL"))</f>
        <v>n/a (unlevered)</v>
      </c>
      <c r="V46" s="41" t="str">
        <f>IF(V$26=0,"n/a (unlevered)",IF(AND(V$44&gt;=Assumptions!$B$35,IFERROR(V$45&gt;=Assumptions!$B$35,TRUE())),"PASS","FAIL"))</f>
        <v>n/a (unlevered)</v>
      </c>
      <c r="W46" s="41" t="str">
        <f>IF(W$26=0,"n/a (unlevered)",IF(AND(W$44&gt;=Assumptions!$B$35,IFERROR(W$45&gt;=Assumptions!$B$35,TRUE())),"PASS","FAIL"))</f>
        <v>n/a (unlevered)</v>
      </c>
      <c r="X46" s="41" t="str">
        <f>IF(X$26=0,"n/a (unlevered)",IF(AND(X$44&gt;=Assumptions!$B$35,IFERROR(X$45&gt;=Assumptions!$B$35,TRUE())),"PASS","FAIL"))</f>
        <v>n/a (unlevered)</v>
      </c>
      <c r="Y46" s="41" t="str">
        <f>IF(Y$26=0,"n/a (unlevered)",IF(AND(Y$44&gt;=Assumptions!$B$35,IFERROR(Y$45&gt;=Assumptions!$B$35,TRUE())),"PASS","FAIL"))</f>
        <v>n/a (unlevered)</v>
      </c>
      <c r="Z46" s="41" t="str">
        <f>IF(Z$26=0,"n/a (unlevered)",IF(AND(Z$44&gt;=Assumptions!$B$35,IFERROR(Z$45&gt;=Assumptions!$B$35,TRUE())),"PASS","FAIL"))</f>
        <v>n/a (unlevered)</v>
      </c>
      <c r="AA46" s="41" t="str">
        <f>IF(AA$26=0,"n/a (unlevered)",IF(AND(AA$44&gt;=Assumptions!$B$35,IFERROR(AA$45&gt;=Assumptions!$B$35,TRUE())),"PASS","FAIL"))</f>
        <v>n/a (unlevered)</v>
      </c>
      <c r="AB46" s="41" t="str">
        <f>IF(AB$26=0,"n/a (unlevered)",IF(AND(AB$44&gt;=Assumptions!$B$35,IFERROR(AB$45&gt;=Assumptions!$B$35,TRUE())),"PASS","FAIL"))</f>
        <v>n/a (unlevered)</v>
      </c>
    </row>
    <row r="47" spans="1:28" ht="15" customHeight="1" x14ac:dyDescent="0.2">
      <c r="A47" s="24" t="s">
        <v>186</v>
      </c>
      <c r="C47" s="41">
        <v>0</v>
      </c>
      <c r="D47" s="41">
        <f t="shared" ref="D47:AB47" si="15">IF(D$46="FAIL",0,D$40-D$43)</f>
        <v>74392740.833318353</v>
      </c>
      <c r="E47" s="41">
        <f t="shared" si="15"/>
        <v>73836469.903449625</v>
      </c>
      <c r="F47" s="41">
        <f t="shared" si="15"/>
        <v>73016900.511544585</v>
      </c>
      <c r="G47" s="41">
        <f t="shared" si="15"/>
        <v>72181505.004278436</v>
      </c>
      <c r="H47" s="41">
        <f t="shared" si="15"/>
        <v>71329982.568266079</v>
      </c>
      <c r="I47" s="41">
        <f t="shared" si="15"/>
        <v>70462026.810405716</v>
      </c>
      <c r="J47" s="41">
        <f t="shared" si="15"/>
        <v>69577325.658416122</v>
      </c>
      <c r="K47" s="41">
        <f t="shared" si="15"/>
        <v>68675561.259722114</v>
      </c>
      <c r="L47" s="41">
        <f t="shared" si="15"/>
        <v>67756409.878663957</v>
      </c>
      <c r="M47" s="41">
        <f t="shared" si="15"/>
        <v>66819541.792007275</v>
      </c>
      <c r="N47" s="41">
        <f t="shared" si="15"/>
        <v>65864621.18272908</v>
      </c>
      <c r="O47" s="41">
        <f t="shared" si="15"/>
        <v>64891306.03205584</v>
      </c>
      <c r="P47" s="41">
        <f t="shared" si="15"/>
        <v>63899248.009728968</v>
      </c>
      <c r="Q47" s="41">
        <f t="shared" si="15"/>
        <v>62888092.362472817</v>
      </c>
      <c r="R47" s="41">
        <f t="shared" si="15"/>
        <v>97236467.265140116</v>
      </c>
      <c r="S47" s="41">
        <f t="shared" si="15"/>
        <v>15462691.448374227</v>
      </c>
      <c r="T47" s="41">
        <f t="shared" si="15"/>
        <v>13795689.277341694</v>
      </c>
      <c r="U47" s="41">
        <f t="shared" si="15"/>
        <v>12095347.062888503</v>
      </c>
      <c r="V47" s="41">
        <f t="shared" si="15"/>
        <v>10360998.004146308</v>
      </c>
      <c r="W47" s="41">
        <f t="shared" si="15"/>
        <v>8591961.9642292261</v>
      </c>
      <c r="X47" s="41">
        <f t="shared" si="15"/>
        <v>6787545.2035138011</v>
      </c>
      <c r="Y47" s="41">
        <f t="shared" si="15"/>
        <v>4947040.107584089</v>
      </c>
      <c r="Z47" s="41">
        <f t="shared" si="15"/>
        <v>3069724.909735769</v>
      </c>
      <c r="AA47" s="41">
        <f t="shared" si="15"/>
        <v>1154863.4079305083</v>
      </c>
      <c r="AB47" s="41">
        <f t="shared" si="15"/>
        <v>-798295.32391089201</v>
      </c>
    </row>
    <row r="48" spans="1:28" ht="15" customHeight="1" x14ac:dyDescent="0.2">
      <c r="A48" s="24" t="s">
        <v>187</v>
      </c>
      <c r="C48" s="41">
        <v>0</v>
      </c>
      <c r="D48" s="41">
        <f t="shared" ref="D48:AB48" si="16">IF(D$46="FAIL",D$40-D$43,0)</f>
        <v>0</v>
      </c>
      <c r="E48" s="41">
        <f t="shared" si="16"/>
        <v>0</v>
      </c>
      <c r="F48" s="41">
        <f t="shared" si="16"/>
        <v>0</v>
      </c>
      <c r="G48" s="41">
        <f t="shared" si="16"/>
        <v>0</v>
      </c>
      <c r="H48" s="41">
        <f t="shared" si="16"/>
        <v>0</v>
      </c>
      <c r="I48" s="41">
        <f t="shared" si="16"/>
        <v>0</v>
      </c>
      <c r="J48" s="41">
        <f t="shared" si="16"/>
        <v>0</v>
      </c>
      <c r="K48" s="41">
        <f t="shared" si="16"/>
        <v>0</v>
      </c>
      <c r="L48" s="41">
        <f t="shared" si="16"/>
        <v>0</v>
      </c>
      <c r="M48" s="41">
        <f t="shared" si="16"/>
        <v>0</v>
      </c>
      <c r="N48" s="41">
        <f t="shared" si="16"/>
        <v>0</v>
      </c>
      <c r="O48" s="41">
        <f t="shared" si="16"/>
        <v>0</v>
      </c>
      <c r="P48" s="41">
        <f t="shared" si="16"/>
        <v>0</v>
      </c>
      <c r="Q48" s="41">
        <f t="shared" si="16"/>
        <v>0</v>
      </c>
      <c r="R48" s="41">
        <f t="shared" si="16"/>
        <v>0</v>
      </c>
      <c r="S48" s="41">
        <f t="shared" si="16"/>
        <v>0</v>
      </c>
      <c r="T48" s="41">
        <f t="shared" si="16"/>
        <v>0</v>
      </c>
      <c r="U48" s="41">
        <f t="shared" si="16"/>
        <v>0</v>
      </c>
      <c r="V48" s="41">
        <f t="shared" si="16"/>
        <v>0</v>
      </c>
      <c r="W48" s="41">
        <f t="shared" si="16"/>
        <v>0</v>
      </c>
      <c r="X48" s="41">
        <f t="shared" si="16"/>
        <v>0</v>
      </c>
      <c r="Y48" s="41">
        <f t="shared" si="16"/>
        <v>0</v>
      </c>
      <c r="Z48" s="41">
        <f t="shared" si="16"/>
        <v>0</v>
      </c>
      <c r="AA48" s="41">
        <f t="shared" si="16"/>
        <v>0</v>
      </c>
      <c r="AB48" s="41">
        <f t="shared" si="16"/>
        <v>0</v>
      </c>
    </row>
    <row r="49" spans="1:28" ht="15" customHeight="1" x14ac:dyDescent="0.2">
      <c r="A49" s="24" t="s">
        <v>188</v>
      </c>
      <c r="C49" s="41">
        <v>0</v>
      </c>
      <c r="D49" s="41">
        <v>0</v>
      </c>
      <c r="E49" s="41">
        <v>0</v>
      </c>
      <c r="F49" s="41">
        <v>0</v>
      </c>
      <c r="G49" s="41">
        <v>0</v>
      </c>
      <c r="H49" s="41">
        <v>0</v>
      </c>
      <c r="I49" s="41">
        <v>0</v>
      </c>
      <c r="J49" s="41">
        <v>0</v>
      </c>
      <c r="K49" s="41">
        <v>0</v>
      </c>
      <c r="L49" s="41">
        <v>0</v>
      </c>
      <c r="M49" s="41">
        <v>0</v>
      </c>
      <c r="N49" s="41">
        <v>0</v>
      </c>
      <c r="O49" s="41">
        <v>0</v>
      </c>
      <c r="P49" s="41">
        <v>0</v>
      </c>
      <c r="Q49" s="41">
        <v>0</v>
      </c>
      <c r="R49" s="41">
        <v>0</v>
      </c>
      <c r="S49" s="41">
        <v>0</v>
      </c>
      <c r="T49" s="41">
        <v>0</v>
      </c>
      <c r="U49" s="41">
        <v>0</v>
      </c>
      <c r="V49" s="41">
        <v>0</v>
      </c>
      <c r="W49" s="41">
        <v>0</v>
      </c>
      <c r="X49" s="41">
        <v>0</v>
      </c>
      <c r="Y49" s="41">
        <v>0</v>
      </c>
      <c r="Z49" s="41">
        <v>0</v>
      </c>
      <c r="AA49" s="41">
        <v>0</v>
      </c>
      <c r="AB49" s="41">
        <f>-Assumptions!$B$14*1000000</f>
        <v>-42000000</v>
      </c>
    </row>
    <row r="50" spans="1:28" ht="15" customHeight="1" x14ac:dyDescent="0.2">
      <c r="A50" s="24" t="s">
        <v>189</v>
      </c>
      <c r="C50" s="41">
        <f>C36+C37+C38-C41</f>
        <v>0</v>
      </c>
      <c r="D50" s="41">
        <f t="shared" ref="D50:R50" si="17">D$47+D$49</f>
        <v>74392740.833318353</v>
      </c>
      <c r="E50" s="41">
        <f t="shared" si="17"/>
        <v>73836469.903449625</v>
      </c>
      <c r="F50" s="41">
        <f t="shared" si="17"/>
        <v>73016900.511544585</v>
      </c>
      <c r="G50" s="41">
        <f t="shared" si="17"/>
        <v>72181505.004278436</v>
      </c>
      <c r="H50" s="41">
        <f t="shared" si="17"/>
        <v>71329982.568266079</v>
      </c>
      <c r="I50" s="41">
        <f t="shared" si="17"/>
        <v>70462026.810405716</v>
      </c>
      <c r="J50" s="41">
        <f t="shared" si="17"/>
        <v>69577325.658416122</v>
      </c>
      <c r="K50" s="41">
        <f t="shared" si="17"/>
        <v>68675561.259722114</v>
      </c>
      <c r="L50" s="41">
        <f t="shared" si="17"/>
        <v>67756409.878663957</v>
      </c>
      <c r="M50" s="41">
        <f t="shared" si="17"/>
        <v>66819541.792007275</v>
      </c>
      <c r="N50" s="41">
        <f t="shared" si="17"/>
        <v>65864621.18272908</v>
      </c>
      <c r="O50" s="41">
        <f t="shared" si="17"/>
        <v>64891306.03205584</v>
      </c>
      <c r="P50" s="41">
        <f t="shared" si="17"/>
        <v>63899248.009728968</v>
      </c>
      <c r="Q50" s="41">
        <f t="shared" si="17"/>
        <v>62888092.362472817</v>
      </c>
      <c r="R50" s="41">
        <f t="shared" si="17"/>
        <v>97236467.265140116</v>
      </c>
      <c r="S50" s="41">
        <f t="shared" ref="S50:AB50" si="18">S$21+S$34+S$49</f>
        <v>15462691.448374227</v>
      </c>
      <c r="T50" s="41">
        <f t="shared" si="18"/>
        <v>13795689.277341694</v>
      </c>
      <c r="U50" s="41">
        <f t="shared" si="18"/>
        <v>12095347.062888503</v>
      </c>
      <c r="V50" s="41">
        <f t="shared" si="18"/>
        <v>10360998.004146308</v>
      </c>
      <c r="W50" s="41">
        <f t="shared" si="18"/>
        <v>8591961.9642292261</v>
      </c>
      <c r="X50" s="41">
        <f t="shared" si="18"/>
        <v>6787545.2035138011</v>
      </c>
      <c r="Y50" s="41">
        <f t="shared" si="18"/>
        <v>4947040.107584089</v>
      </c>
      <c r="Z50" s="41">
        <f t="shared" si="18"/>
        <v>3069724.909735769</v>
      </c>
      <c r="AA50" s="41">
        <f t="shared" si="18"/>
        <v>1154863.4079305083</v>
      </c>
      <c r="AB50" s="41">
        <f t="shared" si="18"/>
        <v>-42798295.323910892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57"/>
  <sheetViews>
    <sheetView showGridLines="0" zoomScale="125" zoomScaleNormal="100" workbookViewId="0"/>
  </sheetViews>
  <sheetFormatPr baseColWidth="10" defaultColWidth="8.6640625" defaultRowHeight="15" x14ac:dyDescent="0.2"/>
  <cols>
    <col min="1" max="1" width="30" customWidth="1"/>
    <col min="2" max="17" width="10" customWidth="1"/>
  </cols>
  <sheetData>
    <row r="1" spans="1:16" ht="17.25" customHeight="1" x14ac:dyDescent="0.2">
      <c r="A1" s="34" t="s">
        <v>190</v>
      </c>
    </row>
    <row r="2" spans="1:16" ht="15" customHeight="1" x14ac:dyDescent="0.2">
      <c r="A2" s="6"/>
    </row>
    <row r="4" spans="1:16" ht="15" customHeight="1" x14ac:dyDescent="0.2">
      <c r="A4" s="22" t="s">
        <v>123</v>
      </c>
      <c r="B4" s="23">
        <v>1</v>
      </c>
      <c r="C4" s="23">
        <v>2</v>
      </c>
      <c r="D4" s="23">
        <v>3</v>
      </c>
      <c r="E4" s="23">
        <v>4</v>
      </c>
      <c r="F4" s="23">
        <v>5</v>
      </c>
      <c r="G4" s="23">
        <v>6</v>
      </c>
      <c r="H4" s="23">
        <v>7</v>
      </c>
      <c r="I4" s="23">
        <v>8</v>
      </c>
      <c r="J4" s="23">
        <v>9</v>
      </c>
      <c r="K4" s="23">
        <v>10</v>
      </c>
      <c r="L4" s="23">
        <v>11</v>
      </c>
      <c r="M4" s="23">
        <v>12</v>
      </c>
      <c r="N4" s="23">
        <v>13</v>
      </c>
      <c r="O4" s="23">
        <v>14</v>
      </c>
      <c r="P4" s="23">
        <v>15</v>
      </c>
    </row>
    <row r="5" spans="1:16" ht="15" customHeight="1" x14ac:dyDescent="0.2">
      <c r="A5" s="44" t="s">
        <v>191</v>
      </c>
      <c r="B5" s="45">
        <f>'Cash Flow &amp; Waterfall'!$D$26</f>
        <v>79327478.443165839</v>
      </c>
      <c r="C5" s="45">
        <f>'Cash Flow &amp; Waterfall'!$E$26</f>
        <v>78831943.086810872</v>
      </c>
      <c r="D5" s="45">
        <f>'Cash Flow &amp; Waterfall'!$F$26</f>
        <v>78326497.023328811</v>
      </c>
      <c r="E5" s="45">
        <f>'Cash Flow &amp; Waterfall'!$G$26</f>
        <v>77810942.038577095</v>
      </c>
      <c r="F5" s="45">
        <f>'Cash Flow &amp; Waterfall'!$H$26</f>
        <v>77285075.954130366</v>
      </c>
      <c r="G5" s="45">
        <f>'Cash Flow &amp; Waterfall'!$I$26</f>
        <v>76748692.547994688</v>
      </c>
      <c r="H5" s="45">
        <f>'Cash Flow &amp; Waterfall'!$J$26</f>
        <v>76201581.473736301</v>
      </c>
      <c r="I5" s="45">
        <f>'Cash Flow &amp; Waterfall'!$K$26</f>
        <v>75643528.177992746</v>
      </c>
      <c r="J5" s="45">
        <f>'Cash Flow &amp; Waterfall'!$L$26</f>
        <v>75074313.816334322</v>
      </c>
      <c r="K5" s="45">
        <f>'Cash Flow &amp; Waterfall'!$M$26</f>
        <v>74493715.167442709</v>
      </c>
      <c r="L5" s="45">
        <f>'Cash Flow &amp; Waterfall'!$N$26</f>
        <v>73901504.545573309</v>
      </c>
      <c r="M5" s="45">
        <f>'Cash Flow &amp; Waterfall'!$O$26</f>
        <v>73297449.711266473</v>
      </c>
      <c r="N5" s="45">
        <f>'Cash Flow &amp; Waterfall'!$P$26</f>
        <v>72681313.780273512</v>
      </c>
      <c r="O5" s="45">
        <f>'Cash Flow &amp; Waterfall'!$Q$26</f>
        <v>72052855.130660698</v>
      </c>
      <c r="P5" s="45">
        <f>'Cash Flow &amp; Waterfall'!$R$26</f>
        <v>71411827.308055624</v>
      </c>
    </row>
    <row r="7" spans="1:16" ht="15" customHeight="1" x14ac:dyDescent="0.2">
      <c r="A7" s="38" t="s">
        <v>192</v>
      </c>
      <c r="B7" s="38"/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</row>
    <row r="8" spans="1:16" ht="15" customHeight="1" x14ac:dyDescent="0.2">
      <c r="A8" s="24" t="s">
        <v>124</v>
      </c>
      <c r="B8" s="25">
        <f>Assumptions!$B$6*Assumptions!$B$7*8760*(1-Assumptions!$B$8)^(B$4-1)</f>
        <v>3293760</v>
      </c>
      <c r="C8" s="25">
        <f>Assumptions!$B$6*Assumptions!$B$7*8760*(1-Assumptions!$B$8)^(C$4-1)</f>
        <v>3293760</v>
      </c>
      <c r="D8" s="25">
        <f>Assumptions!$B$6*Assumptions!$B$7*8760*(1-Assumptions!$B$8)^(D$4-1)</f>
        <v>3293760</v>
      </c>
      <c r="E8" s="25">
        <f>Assumptions!$B$6*Assumptions!$B$7*8760*(1-Assumptions!$B$8)^(E$4-1)</f>
        <v>3293760</v>
      </c>
      <c r="F8" s="25">
        <f>Assumptions!$B$6*Assumptions!$B$7*8760*(1-Assumptions!$B$8)^(F$4-1)</f>
        <v>3293760</v>
      </c>
      <c r="G8" s="25">
        <f>Assumptions!$B$6*Assumptions!$B$7*8760*(1-Assumptions!$B$8)^(G$4-1)</f>
        <v>3293760</v>
      </c>
      <c r="H8" s="25">
        <f>Assumptions!$B$6*Assumptions!$B$7*8760*(1-Assumptions!$B$8)^(H$4-1)</f>
        <v>3293760</v>
      </c>
      <c r="I8" s="25">
        <f>Assumptions!$B$6*Assumptions!$B$7*8760*(1-Assumptions!$B$8)^(I$4-1)</f>
        <v>3293760</v>
      </c>
      <c r="J8" s="25">
        <f>Assumptions!$B$6*Assumptions!$B$7*8760*(1-Assumptions!$B$8)^(J$4-1)</f>
        <v>3293760</v>
      </c>
      <c r="K8" s="25">
        <f>Assumptions!$B$6*Assumptions!$B$7*8760*(1-Assumptions!$B$8)^(K$4-1)</f>
        <v>3293760</v>
      </c>
      <c r="L8" s="25">
        <f>Assumptions!$B$6*Assumptions!$B$7*8760*(1-Assumptions!$B$8)^(L$4-1)</f>
        <v>3293760</v>
      </c>
      <c r="M8" s="25">
        <f>Assumptions!$B$6*Assumptions!$B$7*8760*(1-Assumptions!$B$8)^(M$4-1)</f>
        <v>3293760</v>
      </c>
      <c r="N8" s="25">
        <f>Assumptions!$B$6*Assumptions!$B$7*8760*(1-Assumptions!$B$8)^(N$4-1)</f>
        <v>3293760</v>
      </c>
      <c r="O8" s="25">
        <f>Assumptions!$B$6*Assumptions!$B$7*8760*(1-Assumptions!$B$8)^(O$4-1)</f>
        <v>3293760</v>
      </c>
      <c r="P8" s="25">
        <f>Assumptions!$B$6*Assumptions!$B$7*8760*(1-Assumptions!$B$8)^(P$4-1)</f>
        <v>3293760</v>
      </c>
    </row>
    <row r="9" spans="1:16" ht="15" customHeight="1" x14ac:dyDescent="0.2">
      <c r="A9" s="24" t="s">
        <v>152</v>
      </c>
      <c r="B9" s="43">
        <f>Assumptions!$B$24</f>
        <v>30</v>
      </c>
      <c r="C9" s="43">
        <f>Assumptions!$B$24</f>
        <v>30</v>
      </c>
      <c r="D9" s="43">
        <f>Assumptions!$B$24</f>
        <v>30</v>
      </c>
      <c r="E9" s="43">
        <f>Assumptions!$B$24</f>
        <v>30</v>
      </c>
      <c r="F9" s="43">
        <f>Assumptions!$B$24</f>
        <v>30</v>
      </c>
      <c r="G9" s="43">
        <f>Assumptions!$B$24</f>
        <v>30</v>
      </c>
      <c r="H9" s="43">
        <f>Assumptions!$B$24</f>
        <v>30</v>
      </c>
      <c r="I9" s="43">
        <f>Assumptions!$B$24</f>
        <v>30</v>
      </c>
      <c r="J9" s="43">
        <f>Assumptions!$B$24</f>
        <v>30</v>
      </c>
      <c r="K9" s="43">
        <f>Assumptions!$B$24</f>
        <v>30</v>
      </c>
      <c r="L9" s="43">
        <f>Assumptions!$B$24</f>
        <v>30</v>
      </c>
      <c r="M9" s="43">
        <f>Assumptions!$B$24</f>
        <v>30</v>
      </c>
      <c r="N9" s="43">
        <f>Assumptions!$B$24</f>
        <v>30</v>
      </c>
      <c r="O9" s="43">
        <f>Assumptions!$B$24</f>
        <v>30</v>
      </c>
      <c r="P9" s="43">
        <f>Assumptions!$B$24</f>
        <v>30</v>
      </c>
    </row>
    <row r="10" spans="1:16" ht="15" customHeight="1" x14ac:dyDescent="0.2">
      <c r="A10" s="24" t="s">
        <v>193</v>
      </c>
      <c r="B10" s="43">
        <f>B$9+MAX(0,Assumptions!$B$21-MAX(B$9,Assumptions!$B$22))</f>
        <v>72.7</v>
      </c>
      <c r="C10" s="43">
        <f>C$9+MAX(0,Assumptions!$B$21-MAX(C$9,Assumptions!$B$22))</f>
        <v>72.7</v>
      </c>
      <c r="D10" s="43">
        <f>D$9+MAX(0,Assumptions!$B$21-MAX(D$9,Assumptions!$B$22))</f>
        <v>72.7</v>
      </c>
      <c r="E10" s="43">
        <f>E$9+MAX(0,Assumptions!$B$21-MAX(E$9,Assumptions!$B$22))</f>
        <v>72.7</v>
      </c>
      <c r="F10" s="43">
        <f>F$9+MAX(0,Assumptions!$B$21-MAX(F$9,Assumptions!$B$22))</f>
        <v>72.7</v>
      </c>
      <c r="G10" s="43">
        <f>G$9+MAX(0,Assumptions!$B$21-MAX(G$9,Assumptions!$B$22))</f>
        <v>72.7</v>
      </c>
      <c r="H10" s="43">
        <f>H$9+MAX(0,Assumptions!$B$21-MAX(H$9,Assumptions!$B$22))</f>
        <v>72.7</v>
      </c>
      <c r="I10" s="43">
        <f>I$9+MAX(0,Assumptions!$B$21-MAX(I$9,Assumptions!$B$22))</f>
        <v>72.7</v>
      </c>
      <c r="J10" s="43">
        <f>J$9+MAX(0,Assumptions!$B$21-MAX(J$9,Assumptions!$B$22))</f>
        <v>72.7</v>
      </c>
      <c r="K10" s="43">
        <f>K$9+MAX(0,Assumptions!$B$21-MAX(K$9,Assumptions!$B$22))</f>
        <v>72.7</v>
      </c>
      <c r="L10" s="43">
        <f>L$9+MAX(0,Assumptions!$B$21-MAX(L$9,Assumptions!$B$22))</f>
        <v>72.7</v>
      </c>
      <c r="M10" s="43">
        <f>M$9+MAX(0,Assumptions!$B$21-MAX(M$9,Assumptions!$B$22))</f>
        <v>72.7</v>
      </c>
      <c r="N10" s="43">
        <f>N$9+MAX(0,Assumptions!$B$21-MAX(N$9,Assumptions!$B$22))</f>
        <v>72.7</v>
      </c>
      <c r="O10" s="43">
        <f>O$9+MAX(0,Assumptions!$B$21-MAX(O$9,Assumptions!$B$22))</f>
        <v>72.7</v>
      </c>
      <c r="P10" s="43">
        <f>P$9+MAX(0,Assumptions!$B$21-MAX(P$9,Assumptions!$B$22))</f>
        <v>72.7</v>
      </c>
    </row>
    <row r="11" spans="1:16" ht="15" customHeight="1" x14ac:dyDescent="0.2">
      <c r="A11" s="24" t="s">
        <v>194</v>
      </c>
      <c r="B11" s="25">
        <f t="shared" ref="B11:P11" si="0">B$8*B$10</f>
        <v>239456352</v>
      </c>
      <c r="C11" s="25">
        <f t="shared" si="0"/>
        <v>239456352</v>
      </c>
      <c r="D11" s="25">
        <f t="shared" si="0"/>
        <v>239456352</v>
      </c>
      <c r="E11" s="25">
        <f t="shared" si="0"/>
        <v>239456352</v>
      </c>
      <c r="F11" s="25">
        <f t="shared" si="0"/>
        <v>239456352</v>
      </c>
      <c r="G11" s="25">
        <f t="shared" si="0"/>
        <v>239456352</v>
      </c>
      <c r="H11" s="25">
        <f t="shared" si="0"/>
        <v>239456352</v>
      </c>
      <c r="I11" s="25">
        <f t="shared" si="0"/>
        <v>239456352</v>
      </c>
      <c r="J11" s="25">
        <f t="shared" si="0"/>
        <v>239456352</v>
      </c>
      <c r="K11" s="25">
        <f t="shared" si="0"/>
        <v>239456352</v>
      </c>
      <c r="L11" s="25">
        <f t="shared" si="0"/>
        <v>239456352</v>
      </c>
      <c r="M11" s="25">
        <f t="shared" si="0"/>
        <v>239456352</v>
      </c>
      <c r="N11" s="25">
        <f t="shared" si="0"/>
        <v>239456352</v>
      </c>
      <c r="O11" s="25">
        <f t="shared" si="0"/>
        <v>239456352</v>
      </c>
      <c r="P11" s="25">
        <f t="shared" si="0"/>
        <v>239456352</v>
      </c>
    </row>
    <row r="12" spans="1:16" ht="15" customHeight="1" x14ac:dyDescent="0.2">
      <c r="A12" s="24" t="s">
        <v>126</v>
      </c>
      <c r="B12" s="25">
        <f>(Assumptions!$B$17*(1+Assumptions!$B$19)^(B$4-1)*B$8)+(Assumptions!$B$18*(1+Assumptions!$B$19)^(B$4-1)*Assumptions!$B$6)</f>
        <v>61930358.399999999</v>
      </c>
      <c r="C12" s="25">
        <f>(Assumptions!$B$17*(1+Assumptions!$B$19)^(C$4-1)*C$8)+(Assumptions!$B$18*(1+Assumptions!$B$19)^(C$4-1)*Assumptions!$B$6)</f>
        <v>63168965.568000004</v>
      </c>
      <c r="D12" s="25">
        <f>(Assumptions!$B$17*(1+Assumptions!$B$19)^(D$4-1)*D$8)+(Assumptions!$B$18*(1+Assumptions!$B$19)^(D$4-1)*Assumptions!$B$6)</f>
        <v>64432344.879359998</v>
      </c>
      <c r="E12" s="25">
        <f>(Assumptions!$B$17*(1+Assumptions!$B$19)^(E$4-1)*E$8)+(Assumptions!$B$18*(1+Assumptions!$B$19)^(E$4-1)*Assumptions!$B$6)</f>
        <v>65720991.776947193</v>
      </c>
      <c r="F12" s="25">
        <f>(Assumptions!$B$17*(1+Assumptions!$B$19)^(F$4-1)*F$8)+(Assumptions!$B$18*(1+Assumptions!$B$19)^(F$4-1)*Assumptions!$B$6)</f>
        <v>67035411.612486139</v>
      </c>
      <c r="G12" s="25">
        <f>(Assumptions!$B$17*(1+Assumptions!$B$19)^(G$4-1)*G$8)+(Assumptions!$B$18*(1+Assumptions!$B$19)^(G$4-1)*Assumptions!$B$6)</f>
        <v>68376119.844735861</v>
      </c>
      <c r="H12" s="25">
        <f>(Assumptions!$B$17*(1+Assumptions!$B$19)^(H$4-1)*H$8)+(Assumptions!$B$18*(1+Assumptions!$B$19)^(H$4-1)*Assumptions!$B$6)</f>
        <v>69743642.241630584</v>
      </c>
      <c r="I12" s="25">
        <f>(Assumptions!$B$17*(1+Assumptions!$B$19)^(I$4-1)*I$8)+(Assumptions!$B$18*(1+Assumptions!$B$19)^(I$4-1)*Assumptions!$B$6)</f>
        <v>71138515.086463183</v>
      </c>
      <c r="J12" s="25">
        <f>(Assumptions!$B$17*(1+Assumptions!$B$19)^(J$4-1)*J$8)+(Assumptions!$B$18*(1+Assumptions!$B$19)^(J$4-1)*Assumptions!$B$6)</f>
        <v>72561285.38819246</v>
      </c>
      <c r="K12" s="25">
        <f>(Assumptions!$B$17*(1+Assumptions!$B$19)^(K$4-1)*K$8)+(Assumptions!$B$18*(1+Assumptions!$B$19)^(K$4-1)*Assumptions!$B$6)</f>
        <v>74012511.095956296</v>
      </c>
      <c r="L12" s="25">
        <f>(Assumptions!$B$17*(1+Assumptions!$B$19)^(L$4-1)*L$8)+(Assumptions!$B$18*(1+Assumptions!$B$19)^(L$4-1)*Assumptions!$B$6)</f>
        <v>75492761.317875415</v>
      </c>
      <c r="M12" s="25">
        <f>(Assumptions!$B$17*(1+Assumptions!$B$19)^(M$4-1)*M$8)+(Assumptions!$B$18*(1+Assumptions!$B$19)^(M$4-1)*Assumptions!$B$6)</f>
        <v>77002616.544232935</v>
      </c>
      <c r="N12" s="25">
        <f>(Assumptions!$B$17*(1+Assumptions!$B$19)^(N$4-1)*N$8)+(Assumptions!$B$18*(1+Assumptions!$B$19)^(N$4-1)*Assumptions!$B$6)</f>
        <v>78542668.8751176</v>
      </c>
      <c r="O12" s="25">
        <f>(Assumptions!$B$17*(1+Assumptions!$B$19)^(O$4-1)*O$8)+(Assumptions!$B$18*(1+Assumptions!$B$19)^(O$4-1)*Assumptions!$B$6)</f>
        <v>80113522.252619952</v>
      </c>
      <c r="P12" s="25">
        <f>(Assumptions!$B$17*(1+Assumptions!$B$19)^(P$4-1)*P$8)+(Assumptions!$B$18*(1+Assumptions!$B$19)^(P$4-1)*Assumptions!$B$6)</f>
        <v>81715792.697672352</v>
      </c>
    </row>
    <row r="13" spans="1:16" ht="15" customHeight="1" x14ac:dyDescent="0.2">
      <c r="A13" s="24" t="s">
        <v>127</v>
      </c>
      <c r="B13" s="25">
        <f t="shared" ref="B13:P13" si="1">B$11-B$12</f>
        <v>177525993.59999999</v>
      </c>
      <c r="C13" s="25">
        <f t="shared" si="1"/>
        <v>176287386.43199998</v>
      </c>
      <c r="D13" s="25">
        <f t="shared" si="1"/>
        <v>175024007.12064001</v>
      </c>
      <c r="E13" s="25">
        <f t="shared" si="1"/>
        <v>173735360.2230528</v>
      </c>
      <c r="F13" s="25">
        <f t="shared" si="1"/>
        <v>172420940.38751388</v>
      </c>
      <c r="G13" s="25">
        <f t="shared" si="1"/>
        <v>171080232.15526414</v>
      </c>
      <c r="H13" s="25">
        <f t="shared" si="1"/>
        <v>169712709.75836942</v>
      </c>
      <c r="I13" s="25">
        <f t="shared" si="1"/>
        <v>168317836.91353682</v>
      </c>
      <c r="J13" s="25">
        <f t="shared" si="1"/>
        <v>166895066.61180753</v>
      </c>
      <c r="K13" s="25">
        <f t="shared" si="1"/>
        <v>165443840.9040437</v>
      </c>
      <c r="L13" s="25">
        <f t="shared" si="1"/>
        <v>163963590.68212458</v>
      </c>
      <c r="M13" s="25">
        <f t="shared" si="1"/>
        <v>162453735.45576707</v>
      </c>
      <c r="N13" s="25">
        <f t="shared" si="1"/>
        <v>160913683.1248824</v>
      </c>
      <c r="O13" s="25">
        <f t="shared" si="1"/>
        <v>159342829.74738005</v>
      </c>
      <c r="P13" s="25">
        <f t="shared" si="1"/>
        <v>157740559.30232763</v>
      </c>
    </row>
    <row r="14" spans="1:16" ht="15" customHeight="1" x14ac:dyDescent="0.2">
      <c r="A14" s="24" t="s">
        <v>195</v>
      </c>
      <c r="B14" s="25">
        <f>-MAX(0,(B$13-Assumptions!$B$13/Assumptions!$B$59)*Assumptions!$B$42)</f>
        <v>-30414586.3488</v>
      </c>
      <c r="C14" s="25">
        <f>-MAX(0,(C$13-Assumptions!$B$13/Assumptions!$B$59)*Assumptions!$B$42)</f>
        <v>-30095025.699455995</v>
      </c>
      <c r="D14" s="25">
        <f>-MAX(0,(D$13-Assumptions!$B$13/Assumptions!$B$59)*Assumptions!$B$42)</f>
        <v>-29769073.837125123</v>
      </c>
      <c r="E14" s="25">
        <f>-MAX(0,(E$13-Assumptions!$B$13/Assumptions!$B$59)*Assumptions!$B$42)</f>
        <v>-29436602.937547624</v>
      </c>
      <c r="F14" s="25">
        <f>-MAX(0,(F$13-Assumptions!$B$13/Assumptions!$B$59)*Assumptions!$B$42)</f>
        <v>-29097482.619978581</v>
      </c>
      <c r="G14" s="25">
        <f>-MAX(0,(G$13-Assumptions!$B$13/Assumptions!$B$59)*Assumptions!$B$42)</f>
        <v>-28751579.89605815</v>
      </c>
      <c r="H14" s="25">
        <f>-MAX(0,(H$13-Assumptions!$B$13/Assumptions!$B$59)*Assumptions!$B$42)</f>
        <v>-28398759.117659312</v>
      </c>
      <c r="I14" s="25">
        <f>-MAX(0,(I$13-Assumptions!$B$13/Assumptions!$B$59)*Assumptions!$B$42)</f>
        <v>-28038881.923692498</v>
      </c>
      <c r="J14" s="25">
        <f>-MAX(0,(J$13-Assumptions!$B$13/Assumptions!$B$59)*Assumptions!$B$42)</f>
        <v>-27671807.185846344</v>
      </c>
      <c r="K14" s="25">
        <f>-MAX(0,(K$13-Assumptions!$B$13/Assumptions!$B$59)*Assumptions!$B$42)</f>
        <v>-27297390.953243278</v>
      </c>
      <c r="L14" s="25">
        <f>-MAX(0,(L$13-Assumptions!$B$13/Assumptions!$B$59)*Assumptions!$B$42)</f>
        <v>-26915486.395988144</v>
      </c>
      <c r="M14" s="25">
        <f>-MAX(0,(M$13-Assumptions!$B$13/Assumptions!$B$59)*Assumptions!$B$42)</f>
        <v>-26525943.747587904</v>
      </c>
      <c r="N14" s="25">
        <f>-MAX(0,(N$13-Assumptions!$B$13/Assumptions!$B$59)*Assumptions!$B$42)</f>
        <v>-26128610.246219661</v>
      </c>
      <c r="O14" s="25">
        <f>-MAX(0,(O$13-Assumptions!$B$13/Assumptions!$B$59)*Assumptions!$B$42)</f>
        <v>-25723330.074824054</v>
      </c>
      <c r="P14" s="25">
        <f>-MAX(0,(P$13-Assumptions!$B$13/Assumptions!$B$59)*Assumptions!$B$42)</f>
        <v>-25309944.30000053</v>
      </c>
    </row>
    <row r="15" spans="1:16" ht="15" customHeight="1" x14ac:dyDescent="0.2">
      <c r="A15" s="22" t="s">
        <v>196</v>
      </c>
      <c r="B15" s="26">
        <f t="shared" ref="B15:P15" si="2">B$13+B$14</f>
        <v>147111407.25119999</v>
      </c>
      <c r="C15" s="26">
        <f t="shared" si="2"/>
        <v>146192360.73254398</v>
      </c>
      <c r="D15" s="26">
        <f t="shared" si="2"/>
        <v>145254933.28351489</v>
      </c>
      <c r="E15" s="26">
        <f t="shared" si="2"/>
        <v>144298757.28550518</v>
      </c>
      <c r="F15" s="26">
        <f t="shared" si="2"/>
        <v>143323457.7675353</v>
      </c>
      <c r="G15" s="26">
        <f t="shared" si="2"/>
        <v>142328652.259206</v>
      </c>
      <c r="H15" s="26">
        <f t="shared" si="2"/>
        <v>141313950.64071012</v>
      </c>
      <c r="I15" s="26">
        <f t="shared" si="2"/>
        <v>140278954.98984432</v>
      </c>
      <c r="J15" s="26">
        <f t="shared" si="2"/>
        <v>139223259.4259612</v>
      </c>
      <c r="K15" s="26">
        <f t="shared" si="2"/>
        <v>138146449.95080042</v>
      </c>
      <c r="L15" s="26">
        <f t="shared" si="2"/>
        <v>137048104.28613645</v>
      </c>
      <c r="M15" s="26">
        <f t="shared" si="2"/>
        <v>135927791.70817918</v>
      </c>
      <c r="N15" s="26">
        <f t="shared" si="2"/>
        <v>134785072.87866274</v>
      </c>
      <c r="O15" s="26">
        <f t="shared" si="2"/>
        <v>133619499.672556</v>
      </c>
      <c r="P15" s="26">
        <f t="shared" si="2"/>
        <v>132430615.0023271</v>
      </c>
    </row>
    <row r="16" spans="1:16" ht="15" customHeight="1" x14ac:dyDescent="0.2">
      <c r="A16" s="22" t="s">
        <v>197</v>
      </c>
      <c r="B16" s="46">
        <f t="shared" ref="B16:P16" si="3">B$15/B$5</f>
        <v>1.8544823324568163</v>
      </c>
      <c r="C16" s="46">
        <f t="shared" si="3"/>
        <v>1.854481254782149</v>
      </c>
      <c r="D16" s="46">
        <f t="shared" si="3"/>
        <v>1.8544801415062908</v>
      </c>
      <c r="E16" s="46">
        <f t="shared" si="3"/>
        <v>1.8544789910648398</v>
      </c>
      <c r="F16" s="46">
        <f t="shared" si="3"/>
        <v>1.8544778018022459</v>
      </c>
      <c r="G16" s="46">
        <f t="shared" si="3"/>
        <v>1.854476571965066</v>
      </c>
      <c r="H16" s="46">
        <f t="shared" si="3"/>
        <v>1.8544752996946068</v>
      </c>
      <c r="I16" s="46">
        <f t="shared" si="3"/>
        <v>1.8544739830188963</v>
      </c>
      <c r="J16" s="46">
        <f t="shared" si="3"/>
        <v>1.8544726198439079</v>
      </c>
      <c r="K16" s="46">
        <f t="shared" si="3"/>
        <v>1.8544712079439551</v>
      </c>
      <c r="L16" s="46">
        <f t="shared" si="3"/>
        <v>1.8544697449511616</v>
      </c>
      <c r="M16" s="46">
        <f t="shared" si="3"/>
        <v>1.85446822834391</v>
      </c>
      <c r="N16" s="46">
        <f t="shared" si="3"/>
        <v>1.8544666554341351</v>
      </c>
      <c r="O16" s="46">
        <f t="shared" si="3"/>
        <v>1.8544650233533466</v>
      </c>
      <c r="P16" s="46">
        <f t="shared" si="3"/>
        <v>1.854463329037209</v>
      </c>
    </row>
    <row r="17" spans="1:16" ht="15" customHeight="1" x14ac:dyDescent="0.2">
      <c r="A17" s="47" t="s">
        <v>198</v>
      </c>
      <c r="B17" s="48">
        <f>MIN(B16:P16)</f>
        <v>1.854463329037209</v>
      </c>
      <c r="D17" s="49">
        <f>COUNTIF(B16:P16,"&lt;"&amp;Assumptions!$B$33)</f>
        <v>0</v>
      </c>
      <c r="F17" s="49">
        <f>COUNTIF(B16:P16,"&lt;"&amp;Assumptions!$B$34)</f>
        <v>0</v>
      </c>
      <c r="H17" s="49">
        <f>COUNTIF(B16:P16,"&lt;"&amp;Assumptions!$B$35)</f>
        <v>0</v>
      </c>
    </row>
    <row r="19" spans="1:16" ht="15" customHeight="1" x14ac:dyDescent="0.2">
      <c r="A19" s="38" t="s">
        <v>199</v>
      </c>
      <c r="B19" s="38"/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</row>
    <row r="20" spans="1:16" ht="15" customHeight="1" x14ac:dyDescent="0.2">
      <c r="A20" s="24" t="s">
        <v>124</v>
      </c>
      <c r="B20" s="25">
        <f>Assumptions!$B$6*Assumptions!$B$10*8760*(1-Assumptions!$B$8)^(B$4-1)</f>
        <v>2871647.6715471819</v>
      </c>
      <c r="C20" s="25">
        <f>Assumptions!$B$6*Assumptions!$B$10*8760*(1-Assumptions!$B$8)^(C$4-1)</f>
        <v>2871647.6715471819</v>
      </c>
      <c r="D20" s="25">
        <f>Assumptions!$B$6*Assumptions!$B$10*8760*(1-Assumptions!$B$8)^(D$4-1)</f>
        <v>2871647.6715471819</v>
      </c>
      <c r="E20" s="25">
        <f>Assumptions!$B$6*Assumptions!$B$10*8760*(1-Assumptions!$B$8)^(E$4-1)</f>
        <v>2871647.6715471819</v>
      </c>
      <c r="F20" s="25">
        <f>Assumptions!$B$6*Assumptions!$B$10*8760*(1-Assumptions!$B$8)^(F$4-1)</f>
        <v>2871647.6715471819</v>
      </c>
      <c r="G20" s="25">
        <f>Assumptions!$B$6*Assumptions!$B$10*8760*(1-Assumptions!$B$8)^(G$4-1)</f>
        <v>2871647.6715471819</v>
      </c>
      <c r="H20" s="25">
        <f>Assumptions!$B$6*Assumptions!$B$10*8760*(1-Assumptions!$B$8)^(H$4-1)</f>
        <v>2871647.6715471819</v>
      </c>
      <c r="I20" s="25">
        <f>Assumptions!$B$6*Assumptions!$B$10*8760*(1-Assumptions!$B$8)^(I$4-1)</f>
        <v>2871647.6715471819</v>
      </c>
      <c r="J20" s="25">
        <f>Assumptions!$B$6*Assumptions!$B$10*8760*(1-Assumptions!$B$8)^(J$4-1)</f>
        <v>2871647.6715471819</v>
      </c>
      <c r="K20" s="25">
        <f>Assumptions!$B$6*Assumptions!$B$10*8760*(1-Assumptions!$B$8)^(K$4-1)</f>
        <v>2871647.6715471819</v>
      </c>
      <c r="L20" s="25">
        <f>Assumptions!$B$6*Assumptions!$B$10*8760*(1-Assumptions!$B$8)^(L$4-1)</f>
        <v>2871647.6715471819</v>
      </c>
      <c r="M20" s="25">
        <f>Assumptions!$B$6*Assumptions!$B$10*8760*(1-Assumptions!$B$8)^(M$4-1)</f>
        <v>2871647.6715471819</v>
      </c>
      <c r="N20" s="25">
        <f>Assumptions!$B$6*Assumptions!$B$10*8760*(1-Assumptions!$B$8)^(N$4-1)</f>
        <v>2871647.6715471819</v>
      </c>
      <c r="O20" s="25">
        <f>Assumptions!$B$6*Assumptions!$B$10*8760*(1-Assumptions!$B$8)^(O$4-1)</f>
        <v>2871647.6715471819</v>
      </c>
      <c r="P20" s="25">
        <f>Assumptions!$B$6*Assumptions!$B$10*8760*(1-Assumptions!$B$8)^(P$4-1)</f>
        <v>2871647.6715471819</v>
      </c>
    </row>
    <row r="21" spans="1:16" ht="15" customHeight="1" x14ac:dyDescent="0.2">
      <c r="A21" s="24" t="s">
        <v>152</v>
      </c>
      <c r="B21" s="43">
        <f>Assumptions!$B$24</f>
        <v>30</v>
      </c>
      <c r="C21" s="43">
        <f>Assumptions!$B$24</f>
        <v>30</v>
      </c>
      <c r="D21" s="43">
        <f>Assumptions!$B$24</f>
        <v>30</v>
      </c>
      <c r="E21" s="43">
        <f>Assumptions!$B$24</f>
        <v>30</v>
      </c>
      <c r="F21" s="43">
        <f>Assumptions!$B$24</f>
        <v>30</v>
      </c>
      <c r="G21" s="43">
        <f>Assumptions!$B$24</f>
        <v>30</v>
      </c>
      <c r="H21" s="43">
        <f>Assumptions!$B$24</f>
        <v>30</v>
      </c>
      <c r="I21" s="43">
        <f>Assumptions!$B$24</f>
        <v>30</v>
      </c>
      <c r="J21" s="43">
        <f>Assumptions!$B$24</f>
        <v>30</v>
      </c>
      <c r="K21" s="43">
        <f>Assumptions!$B$24</f>
        <v>30</v>
      </c>
      <c r="L21" s="43">
        <f>Assumptions!$B$24</f>
        <v>30</v>
      </c>
      <c r="M21" s="43">
        <f>Assumptions!$B$24</f>
        <v>30</v>
      </c>
      <c r="N21" s="43">
        <f>Assumptions!$B$24</f>
        <v>30</v>
      </c>
      <c r="O21" s="43">
        <f>Assumptions!$B$24</f>
        <v>30</v>
      </c>
      <c r="P21" s="43">
        <f>Assumptions!$B$24</f>
        <v>30</v>
      </c>
    </row>
    <row r="22" spans="1:16" ht="15" customHeight="1" x14ac:dyDescent="0.2">
      <c r="A22" s="24" t="s">
        <v>193</v>
      </c>
      <c r="B22" s="43">
        <f>B$21+MAX(0,Assumptions!$B$21-MAX(B$21,Assumptions!$B$22))</f>
        <v>72.7</v>
      </c>
      <c r="C22" s="43">
        <f>C$21+MAX(0,Assumptions!$B$21-MAX(C$21,Assumptions!$B$22))</f>
        <v>72.7</v>
      </c>
      <c r="D22" s="43">
        <f>D$21+MAX(0,Assumptions!$B$21-MAX(D$21,Assumptions!$B$22))</f>
        <v>72.7</v>
      </c>
      <c r="E22" s="43">
        <f>E$21+MAX(0,Assumptions!$B$21-MAX(E$21,Assumptions!$B$22))</f>
        <v>72.7</v>
      </c>
      <c r="F22" s="43">
        <f>F$21+MAX(0,Assumptions!$B$21-MAX(F$21,Assumptions!$B$22))</f>
        <v>72.7</v>
      </c>
      <c r="G22" s="43">
        <f>G$21+MAX(0,Assumptions!$B$21-MAX(G$21,Assumptions!$B$22))</f>
        <v>72.7</v>
      </c>
      <c r="H22" s="43">
        <f>H$21+MAX(0,Assumptions!$B$21-MAX(H$21,Assumptions!$B$22))</f>
        <v>72.7</v>
      </c>
      <c r="I22" s="43">
        <f>I$21+MAX(0,Assumptions!$B$21-MAX(I$21,Assumptions!$B$22))</f>
        <v>72.7</v>
      </c>
      <c r="J22" s="43">
        <f>J$21+MAX(0,Assumptions!$B$21-MAX(J$21,Assumptions!$B$22))</f>
        <v>72.7</v>
      </c>
      <c r="K22" s="43">
        <f>K$21+MAX(0,Assumptions!$B$21-MAX(K$21,Assumptions!$B$22))</f>
        <v>72.7</v>
      </c>
      <c r="L22" s="43">
        <f>L$21+MAX(0,Assumptions!$B$21-MAX(L$21,Assumptions!$B$22))</f>
        <v>72.7</v>
      </c>
      <c r="M22" s="43">
        <f>M$21+MAX(0,Assumptions!$B$21-MAX(M$21,Assumptions!$B$22))</f>
        <v>72.7</v>
      </c>
      <c r="N22" s="43">
        <f>N$21+MAX(0,Assumptions!$B$21-MAX(N$21,Assumptions!$B$22))</f>
        <v>72.7</v>
      </c>
      <c r="O22" s="43">
        <f>O$21+MAX(0,Assumptions!$B$21-MAX(O$21,Assumptions!$B$22))</f>
        <v>72.7</v>
      </c>
      <c r="P22" s="43">
        <f>P$21+MAX(0,Assumptions!$B$21-MAX(P$21,Assumptions!$B$22))</f>
        <v>72.7</v>
      </c>
    </row>
    <row r="23" spans="1:16" ht="15" customHeight="1" x14ac:dyDescent="0.2">
      <c r="A23" s="24" t="s">
        <v>194</v>
      </c>
      <c r="B23" s="25">
        <f t="shared" ref="B23:P23" si="4">B$20*B$22</f>
        <v>208768785.72148013</v>
      </c>
      <c r="C23" s="25">
        <f t="shared" si="4"/>
        <v>208768785.72148013</v>
      </c>
      <c r="D23" s="25">
        <f t="shared" si="4"/>
        <v>208768785.72148013</v>
      </c>
      <c r="E23" s="25">
        <f t="shared" si="4"/>
        <v>208768785.72148013</v>
      </c>
      <c r="F23" s="25">
        <f t="shared" si="4"/>
        <v>208768785.72148013</v>
      </c>
      <c r="G23" s="25">
        <f t="shared" si="4"/>
        <v>208768785.72148013</v>
      </c>
      <c r="H23" s="25">
        <f t="shared" si="4"/>
        <v>208768785.72148013</v>
      </c>
      <c r="I23" s="25">
        <f t="shared" si="4"/>
        <v>208768785.72148013</v>
      </c>
      <c r="J23" s="25">
        <f t="shared" si="4"/>
        <v>208768785.72148013</v>
      </c>
      <c r="K23" s="25">
        <f t="shared" si="4"/>
        <v>208768785.72148013</v>
      </c>
      <c r="L23" s="25">
        <f t="shared" si="4"/>
        <v>208768785.72148013</v>
      </c>
      <c r="M23" s="25">
        <f t="shared" si="4"/>
        <v>208768785.72148013</v>
      </c>
      <c r="N23" s="25">
        <f t="shared" si="4"/>
        <v>208768785.72148013</v>
      </c>
      <c r="O23" s="25">
        <f t="shared" si="4"/>
        <v>208768785.72148013</v>
      </c>
      <c r="P23" s="25">
        <f t="shared" si="4"/>
        <v>208768785.72148013</v>
      </c>
    </row>
    <row r="24" spans="1:16" ht="15" customHeight="1" x14ac:dyDescent="0.2">
      <c r="A24" s="24" t="s">
        <v>126</v>
      </c>
      <c r="B24" s="25">
        <f>(Assumptions!$B$17*(1+Assumptions!$B$19)^(B$4-1)*B$20)+(Assumptions!$B$18*(1+Assumptions!$B$19)^(B$4-1)*Assumptions!$B$6)</f>
        <v>57882301.170137472</v>
      </c>
      <c r="C24" s="25">
        <f>(Assumptions!$B$17*(1+Assumptions!$B$19)^(C$4-1)*C$20)+(Assumptions!$B$18*(1+Assumptions!$B$19)^(C$4-1)*Assumptions!$B$6)</f>
        <v>59039947.19354023</v>
      </c>
      <c r="D24" s="25">
        <f>(Assumptions!$B$17*(1+Assumptions!$B$19)^(D$4-1)*D$20)+(Assumptions!$B$18*(1+Assumptions!$B$19)^(D$4-1)*Assumptions!$B$6)</f>
        <v>60220746.137411028</v>
      </c>
      <c r="E24" s="25">
        <f>(Assumptions!$B$17*(1+Assumptions!$B$19)^(E$4-1)*E$20)+(Assumptions!$B$18*(1+Assumptions!$B$19)^(E$4-1)*Assumptions!$B$6)</f>
        <v>61425161.060159244</v>
      </c>
      <c r="F24" s="25">
        <f>(Assumptions!$B$17*(1+Assumptions!$B$19)^(F$4-1)*F$20)+(Assumptions!$B$18*(1+Assumptions!$B$19)^(F$4-1)*Assumptions!$B$6)</f>
        <v>62653664.281362429</v>
      </c>
      <c r="G24" s="25">
        <f>(Assumptions!$B$17*(1+Assumptions!$B$19)^(G$4-1)*G$20)+(Assumptions!$B$18*(1+Assumptions!$B$19)^(G$4-1)*Assumptions!$B$6)</f>
        <v>63906737.566989683</v>
      </c>
      <c r="H24" s="25">
        <f>(Assumptions!$B$17*(1+Assumptions!$B$19)^(H$4-1)*H$20)+(Assumptions!$B$18*(1+Assumptions!$B$19)^(H$4-1)*Assumptions!$B$6)</f>
        <v>65184872.318329476</v>
      </c>
      <c r="I24" s="25">
        <f>(Assumptions!$B$17*(1+Assumptions!$B$19)^(I$4-1)*I$20)+(Assumptions!$B$18*(1+Assumptions!$B$19)^(I$4-1)*Assumptions!$B$6)</f>
        <v>66488569.764696054</v>
      </c>
      <c r="J24" s="25">
        <f>(Assumptions!$B$17*(1+Assumptions!$B$19)^(J$4-1)*J$20)+(Assumptions!$B$18*(1+Assumptions!$B$19)^(J$4-1)*Assumptions!$B$6)</f>
        <v>67818341.159989983</v>
      </c>
      <c r="K24" s="25">
        <f>(Assumptions!$B$17*(1+Assumptions!$B$19)^(K$4-1)*K$20)+(Assumptions!$B$18*(1+Assumptions!$B$19)^(K$4-1)*Assumptions!$B$6)</f>
        <v>69174707.983189791</v>
      </c>
      <c r="L24" s="25">
        <f>(Assumptions!$B$17*(1+Assumptions!$B$19)^(L$4-1)*L$20)+(Assumptions!$B$18*(1+Assumptions!$B$19)^(L$4-1)*Assumptions!$B$6)</f>
        <v>70558202.142853573</v>
      </c>
      <c r="M24" s="25">
        <f>(Assumptions!$B$17*(1+Assumptions!$B$19)^(M$4-1)*M$20)+(Assumptions!$B$18*(1+Assumptions!$B$19)^(M$4-1)*Assumptions!$B$6)</f>
        <v>71969366.185710639</v>
      </c>
      <c r="N24" s="25">
        <f>(Assumptions!$B$17*(1+Assumptions!$B$19)^(N$4-1)*N$20)+(Assumptions!$B$18*(1+Assumptions!$B$19)^(N$4-1)*Assumptions!$B$6)</f>
        <v>73408753.509424865</v>
      </c>
      <c r="O24" s="25">
        <f>(Assumptions!$B$17*(1+Assumptions!$B$19)^(O$4-1)*O$20)+(Assumptions!$B$18*(1+Assumptions!$B$19)^(O$4-1)*Assumptions!$B$6)</f>
        <v>74876928.579613358</v>
      </c>
      <c r="P24" s="25">
        <f>(Assumptions!$B$17*(1+Assumptions!$B$19)^(P$4-1)*P$20)+(Assumptions!$B$18*(1+Assumptions!$B$19)^(P$4-1)*Assumptions!$B$6)</f>
        <v>76374467.151205629</v>
      </c>
    </row>
    <row r="25" spans="1:16" ht="15" customHeight="1" x14ac:dyDescent="0.2">
      <c r="A25" s="24" t="s">
        <v>127</v>
      </c>
      <c r="B25" s="25">
        <f t="shared" ref="B25:P25" si="5">B$23-B$24</f>
        <v>150886484.55134267</v>
      </c>
      <c r="C25" s="25">
        <f t="shared" si="5"/>
        <v>149728838.52793992</v>
      </c>
      <c r="D25" s="25">
        <f t="shared" si="5"/>
        <v>148548039.5840691</v>
      </c>
      <c r="E25" s="25">
        <f t="shared" si="5"/>
        <v>147343624.66132089</v>
      </c>
      <c r="F25" s="25">
        <f t="shared" si="5"/>
        <v>146115121.44011772</v>
      </c>
      <c r="G25" s="25">
        <f t="shared" si="5"/>
        <v>144862048.15449044</v>
      </c>
      <c r="H25" s="25">
        <f t="shared" si="5"/>
        <v>143583913.40315065</v>
      </c>
      <c r="I25" s="25">
        <f t="shared" si="5"/>
        <v>142280215.95678407</v>
      </c>
      <c r="J25" s="25">
        <f t="shared" si="5"/>
        <v>140950444.56149015</v>
      </c>
      <c r="K25" s="25">
        <f t="shared" si="5"/>
        <v>139594077.73829034</v>
      </c>
      <c r="L25" s="25">
        <f t="shared" si="5"/>
        <v>138210583.57862657</v>
      </c>
      <c r="M25" s="25">
        <f t="shared" si="5"/>
        <v>136799419.53576949</v>
      </c>
      <c r="N25" s="25">
        <f t="shared" si="5"/>
        <v>135360032.21205527</v>
      </c>
      <c r="O25" s="25">
        <f t="shared" si="5"/>
        <v>133891857.14186677</v>
      </c>
      <c r="P25" s="25">
        <f t="shared" si="5"/>
        <v>132394318.5702745</v>
      </c>
    </row>
    <row r="26" spans="1:16" ht="15" customHeight="1" x14ac:dyDescent="0.2">
      <c r="A26" s="24" t="s">
        <v>195</v>
      </c>
      <c r="B26" s="25">
        <f>-MAX(0,(B$25-Assumptions!$B$13/Assumptions!$B$59)*Assumptions!$B$42)</f>
        <v>-23541593.014246408</v>
      </c>
      <c r="C26" s="25">
        <f>-MAX(0,(C$25-Assumptions!$B$13/Assumptions!$B$59)*Assumptions!$B$42)</f>
        <v>-23242920.340208501</v>
      </c>
      <c r="D26" s="25">
        <f>-MAX(0,(D$25-Assumptions!$B$13/Assumptions!$B$59)*Assumptions!$B$42)</f>
        <v>-22938274.212689828</v>
      </c>
      <c r="E26" s="25">
        <f>-MAX(0,(E$25-Assumptions!$B$13/Assumptions!$B$59)*Assumptions!$B$42)</f>
        <v>-22627535.16262079</v>
      </c>
      <c r="F26" s="25">
        <f>-MAX(0,(F$25-Assumptions!$B$13/Assumptions!$B$59)*Assumptions!$B$42)</f>
        <v>-22310581.331550371</v>
      </c>
      <c r="G26" s="25">
        <f>-MAX(0,(G$25-Assumptions!$B$13/Assumptions!$B$59)*Assumptions!$B$42)</f>
        <v>-21987288.423858535</v>
      </c>
      <c r="H26" s="25">
        <f>-MAX(0,(H$25-Assumptions!$B$13/Assumptions!$B$59)*Assumptions!$B$42)</f>
        <v>-21657529.658012867</v>
      </c>
      <c r="I26" s="25">
        <f>-MAX(0,(I$25-Assumptions!$B$13/Assumptions!$B$59)*Assumptions!$B$42)</f>
        <v>-21321175.716850292</v>
      </c>
      <c r="J26" s="25">
        <f>-MAX(0,(J$25-Assumptions!$B$13/Assumptions!$B$59)*Assumptions!$B$42)</f>
        <v>-20978094.69686446</v>
      </c>
      <c r="K26" s="25">
        <f>-MAX(0,(K$25-Assumptions!$B$13/Assumptions!$B$59)*Assumptions!$B$42)</f>
        <v>-20628152.056478906</v>
      </c>
      <c r="L26" s="25">
        <f>-MAX(0,(L$25-Assumptions!$B$13/Assumptions!$B$59)*Assumptions!$B$42)</f>
        <v>-20271210.563285656</v>
      </c>
      <c r="M26" s="25">
        <f>-MAX(0,(M$25-Assumptions!$B$13/Assumptions!$B$59)*Assumptions!$B$42)</f>
        <v>-19907130.24022853</v>
      </c>
      <c r="N26" s="25">
        <f>-MAX(0,(N$25-Assumptions!$B$13/Assumptions!$B$59)*Assumptions!$B$42)</f>
        <v>-19535768.310710259</v>
      </c>
      <c r="O26" s="25">
        <f>-MAX(0,(O$25-Assumptions!$B$13/Assumptions!$B$59)*Assumptions!$B$42)</f>
        <v>-19156979.142601628</v>
      </c>
      <c r="P26" s="25">
        <f>-MAX(0,(P$25-Assumptions!$B$13/Assumptions!$B$59)*Assumptions!$B$42)</f>
        <v>-18770614.191130821</v>
      </c>
    </row>
    <row r="27" spans="1:16" ht="15" customHeight="1" x14ac:dyDescent="0.2">
      <c r="A27" s="22" t="s">
        <v>196</v>
      </c>
      <c r="B27" s="26">
        <f t="shared" ref="B27:P27" si="6">B$25+B$26</f>
        <v>127344891.53709626</v>
      </c>
      <c r="C27" s="26">
        <f t="shared" si="6"/>
        <v>126485918.18773142</v>
      </c>
      <c r="D27" s="26">
        <f t="shared" si="6"/>
        <v>125609765.37137927</v>
      </c>
      <c r="E27" s="26">
        <f t="shared" si="6"/>
        <v>124716089.49870011</v>
      </c>
      <c r="F27" s="26">
        <f t="shared" si="6"/>
        <v>123804540.10856734</v>
      </c>
      <c r="G27" s="26">
        <f t="shared" si="6"/>
        <v>122874759.7306319</v>
      </c>
      <c r="H27" s="26">
        <f t="shared" si="6"/>
        <v>121926383.74513778</v>
      </c>
      <c r="I27" s="26">
        <f t="shared" si="6"/>
        <v>120959040.23993377</v>
      </c>
      <c r="J27" s="26">
        <f t="shared" si="6"/>
        <v>119972349.86462569</v>
      </c>
      <c r="K27" s="26">
        <f t="shared" si="6"/>
        <v>118965925.68181144</v>
      </c>
      <c r="L27" s="26">
        <f t="shared" si="6"/>
        <v>117939373.01534092</v>
      </c>
      <c r="M27" s="26">
        <f t="shared" si="6"/>
        <v>116892289.29554096</v>
      </c>
      <c r="N27" s="26">
        <f t="shared" si="6"/>
        <v>115824263.90134501</v>
      </c>
      <c r="O27" s="26">
        <f t="shared" si="6"/>
        <v>114734877.99926515</v>
      </c>
      <c r="P27" s="26">
        <f t="shared" si="6"/>
        <v>113623704.37914369</v>
      </c>
    </row>
    <row r="28" spans="1:16" ht="15" customHeight="1" x14ac:dyDescent="0.2">
      <c r="A28" s="22" t="s">
        <v>197</v>
      </c>
      <c r="B28" s="46">
        <f t="shared" ref="B28:P28" si="7">B$27/B$5</f>
        <v>1.6053061818715502</v>
      </c>
      <c r="C28" s="46">
        <f t="shared" si="7"/>
        <v>1.6045008309441682</v>
      </c>
      <c r="D28" s="46">
        <f t="shared" si="7"/>
        <v>1.6036688750930299</v>
      </c>
      <c r="E28" s="46">
        <f t="shared" si="7"/>
        <v>1.602809145233949</v>
      </c>
      <c r="F28" s="46">
        <f t="shared" si="7"/>
        <v>1.6019204041676409</v>
      </c>
      <c r="G28" s="46">
        <f t="shared" si="7"/>
        <v>1.6010013415380639</v>
      </c>
      <c r="H28" s="46">
        <f t="shared" si="7"/>
        <v>1.6000505683357902</v>
      </c>
      <c r="I28" s="46">
        <f t="shared" si="7"/>
        <v>1.5990666108977825</v>
      </c>
      <c r="J28" s="46">
        <f t="shared" si="7"/>
        <v>1.5980479043489129</v>
      </c>
      <c r="K28" s="46">
        <f t="shared" si="7"/>
        <v>1.5969927854236647</v>
      </c>
      <c r="L28" s="46">
        <f t="shared" si="7"/>
        <v>1.5958994845985917</v>
      </c>
      <c r="M28" s="46">
        <f t="shared" si="7"/>
        <v>1.5947661174570658</v>
      </c>
      <c r="N28" s="46">
        <f t="shared" si="7"/>
        <v>1.5935906751974669</v>
      </c>
      <c r="O28" s="46">
        <f t="shared" si="7"/>
        <v>1.5923710141840297</v>
      </c>
      <c r="P28" s="46">
        <f t="shared" si="7"/>
        <v>1.5911048444257685</v>
      </c>
    </row>
    <row r="29" spans="1:16" ht="15" customHeight="1" x14ac:dyDescent="0.2">
      <c r="A29" s="47" t="s">
        <v>198</v>
      </c>
      <c r="B29" s="48">
        <f>MIN(B28:P28)</f>
        <v>1.5911048444257685</v>
      </c>
      <c r="D29" s="49">
        <f>COUNTIF(B28:P28,"&lt;"&amp;Assumptions!$B$33)</f>
        <v>0</v>
      </c>
      <c r="F29" s="49">
        <f>COUNTIF(B28:P28,"&lt;"&amp;Assumptions!$B$34)</f>
        <v>0</v>
      </c>
      <c r="H29" s="49">
        <f>COUNTIF(B28:P28,"&lt;"&amp;Assumptions!$B$35)</f>
        <v>0</v>
      </c>
    </row>
    <row r="31" spans="1:16" ht="15" customHeight="1" x14ac:dyDescent="0.2">
      <c r="A31" s="38" t="s">
        <v>200</v>
      </c>
      <c r="B31" s="38"/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</row>
    <row r="32" spans="1:16" ht="15" customHeight="1" x14ac:dyDescent="0.2">
      <c r="A32" s="24" t="s">
        <v>124</v>
      </c>
      <c r="B32" s="25">
        <f>Assumptions!$B$6*Assumptions!$B$7*8760*(1-Assumptions!$B$8)^(B$4-1)</f>
        <v>3293760</v>
      </c>
      <c r="C32" s="25">
        <f>Assumptions!$B$6*Assumptions!$B$7*8760*(1-Assumptions!$B$8)^(C$4-1)</f>
        <v>3293760</v>
      </c>
      <c r="D32" s="25">
        <f>Assumptions!$B$6*Assumptions!$B$7*8760*(1-Assumptions!$B$8)^(D$4-1)</f>
        <v>3293760</v>
      </c>
      <c r="E32" s="25">
        <f>Assumptions!$B$6*Assumptions!$B$7*8760*(1-Assumptions!$B$8)^(E$4-1)</f>
        <v>3293760</v>
      </c>
      <c r="F32" s="25">
        <f>Assumptions!$B$6*Assumptions!$B$7*8760*(1-Assumptions!$B$8)^(F$4-1)</f>
        <v>3293760</v>
      </c>
      <c r="G32" s="25">
        <f>Assumptions!$B$6*Assumptions!$B$7*8760*(1-Assumptions!$B$8)^(G$4-1)</f>
        <v>3293760</v>
      </c>
      <c r="H32" s="25">
        <f>Assumptions!$B$6*Assumptions!$B$7*8760*(1-Assumptions!$B$8)^(H$4-1)</f>
        <v>3293760</v>
      </c>
      <c r="I32" s="25">
        <f>Assumptions!$B$6*Assumptions!$B$7*8760*(1-Assumptions!$B$8)^(I$4-1)</f>
        <v>3293760</v>
      </c>
      <c r="J32" s="25">
        <f>Assumptions!$B$6*Assumptions!$B$7*8760*(1-Assumptions!$B$8)^(J$4-1)</f>
        <v>3293760</v>
      </c>
      <c r="K32" s="25">
        <f>Assumptions!$B$6*Assumptions!$B$7*8760*(1-Assumptions!$B$8)^(K$4-1)</f>
        <v>3293760</v>
      </c>
      <c r="L32" s="25">
        <f>Assumptions!$B$6*Assumptions!$B$7*8760*(1-Assumptions!$B$8)^(L$4-1)</f>
        <v>3293760</v>
      </c>
      <c r="M32" s="25">
        <f>Assumptions!$B$6*Assumptions!$B$7*8760*(1-Assumptions!$B$8)^(M$4-1)</f>
        <v>3293760</v>
      </c>
      <c r="N32" s="25">
        <f>Assumptions!$B$6*Assumptions!$B$7*8760*(1-Assumptions!$B$8)^(N$4-1)</f>
        <v>3293760</v>
      </c>
      <c r="O32" s="25">
        <f>Assumptions!$B$6*Assumptions!$B$7*8760*(1-Assumptions!$B$8)^(O$4-1)</f>
        <v>3293760</v>
      </c>
      <c r="P32" s="25">
        <f>Assumptions!$B$6*Assumptions!$B$7*8760*(1-Assumptions!$B$8)^(P$4-1)</f>
        <v>3293760</v>
      </c>
    </row>
    <row r="33" spans="1:16" ht="15" customHeight="1" x14ac:dyDescent="0.2">
      <c r="A33" s="24" t="s">
        <v>152</v>
      </c>
      <c r="B33" s="43">
        <f>Assumptions!$B$24*(1+Assumptions!$B$25)</f>
        <v>24</v>
      </c>
      <c r="C33" s="43">
        <f>Assumptions!$B$24*(1+Assumptions!$B$25)</f>
        <v>24</v>
      </c>
      <c r="D33" s="43">
        <f>Assumptions!$B$24*(1+Assumptions!$B$25)</f>
        <v>24</v>
      </c>
      <c r="E33" s="43">
        <f>Assumptions!$B$24*(1+Assumptions!$B$25)</f>
        <v>24</v>
      </c>
      <c r="F33" s="43">
        <f>Assumptions!$B$24*(1+Assumptions!$B$25)</f>
        <v>24</v>
      </c>
      <c r="G33" s="43">
        <f>Assumptions!$B$24*(1+Assumptions!$B$25)</f>
        <v>24</v>
      </c>
      <c r="H33" s="43">
        <f>Assumptions!$B$24*(1+Assumptions!$B$25)</f>
        <v>24</v>
      </c>
      <c r="I33" s="43">
        <f>Assumptions!$B$24*(1+Assumptions!$B$25)</f>
        <v>24</v>
      </c>
      <c r="J33" s="43">
        <f>Assumptions!$B$24*(1+Assumptions!$B$25)</f>
        <v>24</v>
      </c>
      <c r="K33" s="43">
        <f>Assumptions!$B$24*(1+Assumptions!$B$25)</f>
        <v>24</v>
      </c>
      <c r="L33" s="43">
        <f>Assumptions!$B$24*(1+Assumptions!$B$25)</f>
        <v>24</v>
      </c>
      <c r="M33" s="43">
        <f>Assumptions!$B$24*(1+Assumptions!$B$25)</f>
        <v>24</v>
      </c>
      <c r="N33" s="43">
        <f>Assumptions!$B$24*(1+Assumptions!$B$25)</f>
        <v>24</v>
      </c>
      <c r="O33" s="43">
        <f>Assumptions!$B$24*(1+Assumptions!$B$25)</f>
        <v>24</v>
      </c>
      <c r="P33" s="43">
        <f>Assumptions!$B$24*(1+Assumptions!$B$25)</f>
        <v>24</v>
      </c>
    </row>
    <row r="34" spans="1:16" ht="15" customHeight="1" x14ac:dyDescent="0.2">
      <c r="A34" s="24" t="s">
        <v>193</v>
      </c>
      <c r="B34" s="43">
        <f>B$33+MAX(0,Assumptions!$B$21-MAX(B$33,Assumptions!$B$22))</f>
        <v>67.7</v>
      </c>
      <c r="C34" s="43">
        <f>C$33+MAX(0,Assumptions!$B$21-MAX(C$33,Assumptions!$B$22))</f>
        <v>67.7</v>
      </c>
      <c r="D34" s="43">
        <f>D$33+MAX(0,Assumptions!$B$21-MAX(D$33,Assumptions!$B$22))</f>
        <v>67.7</v>
      </c>
      <c r="E34" s="43">
        <f>E$33+MAX(0,Assumptions!$B$21-MAX(E$33,Assumptions!$B$22))</f>
        <v>67.7</v>
      </c>
      <c r="F34" s="43">
        <f>F$33+MAX(0,Assumptions!$B$21-MAX(F$33,Assumptions!$B$22))</f>
        <v>67.7</v>
      </c>
      <c r="G34" s="43">
        <f>G$33+MAX(0,Assumptions!$B$21-MAX(G$33,Assumptions!$B$22))</f>
        <v>67.7</v>
      </c>
      <c r="H34" s="43">
        <f>H$33+MAX(0,Assumptions!$B$21-MAX(H$33,Assumptions!$B$22))</f>
        <v>67.7</v>
      </c>
      <c r="I34" s="43">
        <f>I$33+MAX(0,Assumptions!$B$21-MAX(I$33,Assumptions!$B$22))</f>
        <v>67.7</v>
      </c>
      <c r="J34" s="43">
        <f>J$33+MAX(0,Assumptions!$B$21-MAX(J$33,Assumptions!$B$22))</f>
        <v>67.7</v>
      </c>
      <c r="K34" s="43">
        <f>K$33+MAX(0,Assumptions!$B$21-MAX(K$33,Assumptions!$B$22))</f>
        <v>67.7</v>
      </c>
      <c r="L34" s="43">
        <f>L$33+MAX(0,Assumptions!$B$21-MAX(L$33,Assumptions!$B$22))</f>
        <v>67.7</v>
      </c>
      <c r="M34" s="43">
        <f>M$33+MAX(0,Assumptions!$B$21-MAX(M$33,Assumptions!$B$22))</f>
        <v>67.7</v>
      </c>
      <c r="N34" s="43">
        <f>N$33+MAX(0,Assumptions!$B$21-MAX(N$33,Assumptions!$B$22))</f>
        <v>67.7</v>
      </c>
      <c r="O34" s="43">
        <f>O$33+MAX(0,Assumptions!$B$21-MAX(O$33,Assumptions!$B$22))</f>
        <v>67.7</v>
      </c>
      <c r="P34" s="43">
        <f>P$33+MAX(0,Assumptions!$B$21-MAX(P$33,Assumptions!$B$22))</f>
        <v>67.7</v>
      </c>
    </row>
    <row r="35" spans="1:16" ht="15" customHeight="1" x14ac:dyDescent="0.2">
      <c r="A35" s="24" t="s">
        <v>194</v>
      </c>
      <c r="B35" s="25">
        <f t="shared" ref="B35:P35" si="8">B$32*B$34</f>
        <v>222987552</v>
      </c>
      <c r="C35" s="25">
        <f t="shared" si="8"/>
        <v>222987552</v>
      </c>
      <c r="D35" s="25">
        <f t="shared" si="8"/>
        <v>222987552</v>
      </c>
      <c r="E35" s="25">
        <f t="shared" si="8"/>
        <v>222987552</v>
      </c>
      <c r="F35" s="25">
        <f t="shared" si="8"/>
        <v>222987552</v>
      </c>
      <c r="G35" s="25">
        <f t="shared" si="8"/>
        <v>222987552</v>
      </c>
      <c r="H35" s="25">
        <f t="shared" si="8"/>
        <v>222987552</v>
      </c>
      <c r="I35" s="25">
        <f t="shared" si="8"/>
        <v>222987552</v>
      </c>
      <c r="J35" s="25">
        <f t="shared" si="8"/>
        <v>222987552</v>
      </c>
      <c r="K35" s="25">
        <f t="shared" si="8"/>
        <v>222987552</v>
      </c>
      <c r="L35" s="25">
        <f t="shared" si="8"/>
        <v>222987552</v>
      </c>
      <c r="M35" s="25">
        <f t="shared" si="8"/>
        <v>222987552</v>
      </c>
      <c r="N35" s="25">
        <f t="shared" si="8"/>
        <v>222987552</v>
      </c>
      <c r="O35" s="25">
        <f t="shared" si="8"/>
        <v>222987552</v>
      </c>
      <c r="P35" s="25">
        <f t="shared" si="8"/>
        <v>222987552</v>
      </c>
    </row>
    <row r="36" spans="1:16" ht="15" customHeight="1" x14ac:dyDescent="0.2">
      <c r="A36" s="24" t="s">
        <v>126</v>
      </c>
      <c r="B36" s="25">
        <f>(Assumptions!$B$17*(1+Assumptions!$B$19)^(B$4-1)*B$32)+(Assumptions!$B$18*(1+Assumptions!$B$19)^(B$4-1)*Assumptions!$B$6)</f>
        <v>61930358.399999999</v>
      </c>
      <c r="C36" s="25">
        <f>(Assumptions!$B$17*(1+Assumptions!$B$19)^(C$4-1)*C$32)+(Assumptions!$B$18*(1+Assumptions!$B$19)^(C$4-1)*Assumptions!$B$6)</f>
        <v>63168965.568000004</v>
      </c>
      <c r="D36" s="25">
        <f>(Assumptions!$B$17*(1+Assumptions!$B$19)^(D$4-1)*D$32)+(Assumptions!$B$18*(1+Assumptions!$B$19)^(D$4-1)*Assumptions!$B$6)</f>
        <v>64432344.879359998</v>
      </c>
      <c r="E36" s="25">
        <f>(Assumptions!$B$17*(1+Assumptions!$B$19)^(E$4-1)*E$32)+(Assumptions!$B$18*(1+Assumptions!$B$19)^(E$4-1)*Assumptions!$B$6)</f>
        <v>65720991.776947193</v>
      </c>
      <c r="F36" s="25">
        <f>(Assumptions!$B$17*(1+Assumptions!$B$19)^(F$4-1)*F$32)+(Assumptions!$B$18*(1+Assumptions!$B$19)^(F$4-1)*Assumptions!$B$6)</f>
        <v>67035411.612486139</v>
      </c>
      <c r="G36" s="25">
        <f>(Assumptions!$B$17*(1+Assumptions!$B$19)^(G$4-1)*G$32)+(Assumptions!$B$18*(1+Assumptions!$B$19)^(G$4-1)*Assumptions!$B$6)</f>
        <v>68376119.844735861</v>
      </c>
      <c r="H36" s="25">
        <f>(Assumptions!$B$17*(1+Assumptions!$B$19)^(H$4-1)*H$32)+(Assumptions!$B$18*(1+Assumptions!$B$19)^(H$4-1)*Assumptions!$B$6)</f>
        <v>69743642.241630584</v>
      </c>
      <c r="I36" s="25">
        <f>(Assumptions!$B$17*(1+Assumptions!$B$19)^(I$4-1)*I$32)+(Assumptions!$B$18*(1+Assumptions!$B$19)^(I$4-1)*Assumptions!$B$6)</f>
        <v>71138515.086463183</v>
      </c>
      <c r="J36" s="25">
        <f>(Assumptions!$B$17*(1+Assumptions!$B$19)^(J$4-1)*J$32)+(Assumptions!$B$18*(1+Assumptions!$B$19)^(J$4-1)*Assumptions!$B$6)</f>
        <v>72561285.38819246</v>
      </c>
      <c r="K36" s="25">
        <f>(Assumptions!$B$17*(1+Assumptions!$B$19)^(K$4-1)*K$32)+(Assumptions!$B$18*(1+Assumptions!$B$19)^(K$4-1)*Assumptions!$B$6)</f>
        <v>74012511.095956296</v>
      </c>
      <c r="L36" s="25">
        <f>(Assumptions!$B$17*(1+Assumptions!$B$19)^(L$4-1)*L$32)+(Assumptions!$B$18*(1+Assumptions!$B$19)^(L$4-1)*Assumptions!$B$6)</f>
        <v>75492761.317875415</v>
      </c>
      <c r="M36" s="25">
        <f>(Assumptions!$B$17*(1+Assumptions!$B$19)^(M$4-1)*M$32)+(Assumptions!$B$18*(1+Assumptions!$B$19)^(M$4-1)*Assumptions!$B$6)</f>
        <v>77002616.544232935</v>
      </c>
      <c r="N36" s="25">
        <f>(Assumptions!$B$17*(1+Assumptions!$B$19)^(N$4-1)*N$32)+(Assumptions!$B$18*(1+Assumptions!$B$19)^(N$4-1)*Assumptions!$B$6)</f>
        <v>78542668.8751176</v>
      </c>
      <c r="O36" s="25">
        <f>(Assumptions!$B$17*(1+Assumptions!$B$19)^(O$4-1)*O$32)+(Assumptions!$B$18*(1+Assumptions!$B$19)^(O$4-1)*Assumptions!$B$6)</f>
        <v>80113522.252619952</v>
      </c>
      <c r="P36" s="25">
        <f>(Assumptions!$B$17*(1+Assumptions!$B$19)^(P$4-1)*P$32)+(Assumptions!$B$18*(1+Assumptions!$B$19)^(P$4-1)*Assumptions!$B$6)</f>
        <v>81715792.697672352</v>
      </c>
    </row>
    <row r="37" spans="1:16" ht="15" customHeight="1" x14ac:dyDescent="0.2">
      <c r="A37" s="24" t="s">
        <v>127</v>
      </c>
      <c r="B37" s="25">
        <f t="shared" ref="B37:P37" si="9">B$35-B$36</f>
        <v>161057193.59999999</v>
      </c>
      <c r="C37" s="25">
        <f t="shared" si="9"/>
        <v>159818586.43199998</v>
      </c>
      <c r="D37" s="25">
        <f t="shared" si="9"/>
        <v>158555207.12064001</v>
      </c>
      <c r="E37" s="25">
        <f t="shared" si="9"/>
        <v>157266560.2230528</v>
      </c>
      <c r="F37" s="25">
        <f t="shared" si="9"/>
        <v>155952140.38751388</v>
      </c>
      <c r="G37" s="25">
        <f t="shared" si="9"/>
        <v>154611432.15526414</v>
      </c>
      <c r="H37" s="25">
        <f t="shared" si="9"/>
        <v>153243909.75836942</v>
      </c>
      <c r="I37" s="25">
        <f t="shared" si="9"/>
        <v>151849036.91353682</v>
      </c>
      <c r="J37" s="25">
        <f t="shared" si="9"/>
        <v>150426266.61180753</v>
      </c>
      <c r="K37" s="25">
        <f t="shared" si="9"/>
        <v>148975040.9040437</v>
      </c>
      <c r="L37" s="25">
        <f t="shared" si="9"/>
        <v>147494790.68212458</v>
      </c>
      <c r="M37" s="25">
        <f t="shared" si="9"/>
        <v>145984935.45576707</v>
      </c>
      <c r="N37" s="25">
        <f t="shared" si="9"/>
        <v>144444883.1248824</v>
      </c>
      <c r="O37" s="25">
        <f t="shared" si="9"/>
        <v>142874029.74738005</v>
      </c>
      <c r="P37" s="25">
        <f t="shared" si="9"/>
        <v>141271759.30232763</v>
      </c>
    </row>
    <row r="38" spans="1:16" ht="15" customHeight="1" x14ac:dyDescent="0.2">
      <c r="A38" s="24" t="s">
        <v>195</v>
      </c>
      <c r="B38" s="25">
        <f>-MAX(0,(B$37-Assumptions!$B$13/Assumptions!$B$59)*Assumptions!$B$42)</f>
        <v>-26165635.948799998</v>
      </c>
      <c r="C38" s="25">
        <f>-MAX(0,(C$37-Assumptions!$B$13/Assumptions!$B$59)*Assumptions!$B$42)</f>
        <v>-25846075.299455997</v>
      </c>
      <c r="D38" s="25">
        <f>-MAX(0,(D$37-Assumptions!$B$13/Assumptions!$B$59)*Assumptions!$B$42)</f>
        <v>-25520123.437125124</v>
      </c>
      <c r="E38" s="25">
        <f>-MAX(0,(E$37-Assumptions!$B$13/Assumptions!$B$59)*Assumptions!$B$42)</f>
        <v>-25187652.537547622</v>
      </c>
      <c r="F38" s="25">
        <f>-MAX(0,(F$37-Assumptions!$B$13/Assumptions!$B$59)*Assumptions!$B$42)</f>
        <v>-24848532.219978582</v>
      </c>
      <c r="G38" s="25">
        <f>-MAX(0,(G$37-Assumptions!$B$13/Assumptions!$B$59)*Assumptions!$B$42)</f>
        <v>-24502629.496058147</v>
      </c>
      <c r="H38" s="25">
        <f>-MAX(0,(H$37-Assumptions!$B$13/Assumptions!$B$59)*Assumptions!$B$42)</f>
        <v>-24149808.71765931</v>
      </c>
      <c r="I38" s="25">
        <f>-MAX(0,(I$37-Assumptions!$B$13/Assumptions!$B$59)*Assumptions!$B$42)</f>
        <v>-23789931.5236925</v>
      </c>
      <c r="J38" s="25">
        <f>-MAX(0,(J$37-Assumptions!$B$13/Assumptions!$B$59)*Assumptions!$B$42)</f>
        <v>-23422856.785846341</v>
      </c>
      <c r="K38" s="25">
        <f>-MAX(0,(K$37-Assumptions!$B$13/Assumptions!$B$59)*Assumptions!$B$42)</f>
        <v>-23048440.553243276</v>
      </c>
      <c r="L38" s="25">
        <f>-MAX(0,(L$37-Assumptions!$B$13/Assumptions!$B$59)*Assumptions!$B$42)</f>
        <v>-22666535.995988142</v>
      </c>
      <c r="M38" s="25">
        <f>-MAX(0,(M$37-Assumptions!$B$13/Assumptions!$B$59)*Assumptions!$B$42)</f>
        <v>-22276993.347587902</v>
      </c>
      <c r="N38" s="25">
        <f>-MAX(0,(N$37-Assumptions!$B$13/Assumptions!$B$59)*Assumptions!$B$42)</f>
        <v>-21879659.846219659</v>
      </c>
      <c r="O38" s="25">
        <f>-MAX(0,(O$37-Assumptions!$B$13/Assumptions!$B$59)*Assumptions!$B$42)</f>
        <v>-21474379.674824052</v>
      </c>
      <c r="P38" s="25">
        <f>-MAX(0,(P$37-Assumptions!$B$13/Assumptions!$B$59)*Assumptions!$B$42)</f>
        <v>-21060993.900000531</v>
      </c>
    </row>
    <row r="39" spans="1:16" ht="15" customHeight="1" x14ac:dyDescent="0.2">
      <c r="A39" s="22" t="s">
        <v>196</v>
      </c>
      <c r="B39" s="26">
        <f t="shared" ref="B39:P39" si="10">B$37+B$38</f>
        <v>134891557.6512</v>
      </c>
      <c r="C39" s="26">
        <f t="shared" si="10"/>
        <v>133972511.13254398</v>
      </c>
      <c r="D39" s="26">
        <f t="shared" si="10"/>
        <v>133035083.68351489</v>
      </c>
      <c r="E39" s="26">
        <f t="shared" si="10"/>
        <v>132078907.68550518</v>
      </c>
      <c r="F39" s="26">
        <f t="shared" si="10"/>
        <v>131103608.16753529</v>
      </c>
      <c r="G39" s="26">
        <f t="shared" si="10"/>
        <v>130108802.65920599</v>
      </c>
      <c r="H39" s="26">
        <f t="shared" si="10"/>
        <v>129094101.04071011</v>
      </c>
      <c r="I39" s="26">
        <f t="shared" si="10"/>
        <v>128059105.38984431</v>
      </c>
      <c r="J39" s="26">
        <f t="shared" si="10"/>
        <v>127003409.82596119</v>
      </c>
      <c r="K39" s="26">
        <f t="shared" si="10"/>
        <v>125926600.35080042</v>
      </c>
      <c r="L39" s="26">
        <f t="shared" si="10"/>
        <v>124828254.68613644</v>
      </c>
      <c r="M39" s="26">
        <f t="shared" si="10"/>
        <v>123707942.10817917</v>
      </c>
      <c r="N39" s="26">
        <f t="shared" si="10"/>
        <v>122565223.27866274</v>
      </c>
      <c r="O39" s="26">
        <f t="shared" si="10"/>
        <v>121399650.07255599</v>
      </c>
      <c r="P39" s="26">
        <f t="shared" si="10"/>
        <v>120210765.40232711</v>
      </c>
    </row>
    <row r="40" spans="1:16" ht="15" customHeight="1" x14ac:dyDescent="0.2">
      <c r="A40" s="22" t="s">
        <v>197</v>
      </c>
      <c r="B40" s="46">
        <f t="shared" ref="B40:P40" si="11">B$39/B$5</f>
        <v>1.7004392462549158</v>
      </c>
      <c r="C40" s="46">
        <f t="shared" si="11"/>
        <v>1.6994698581133731</v>
      </c>
      <c r="D40" s="46">
        <f t="shared" si="11"/>
        <v>1.698468446046957</v>
      </c>
      <c r="E40" s="46">
        <f t="shared" si="11"/>
        <v>1.6974336028475676</v>
      </c>
      <c r="F40" s="46">
        <f t="shared" si="11"/>
        <v>1.6963638393180447</v>
      </c>
      <c r="G40" s="46">
        <f t="shared" si="11"/>
        <v>1.6952575782035977</v>
      </c>
      <c r="H40" s="46">
        <f t="shared" si="11"/>
        <v>1.6941131475756024</v>
      </c>
      <c r="I40" s="46">
        <f t="shared" si="11"/>
        <v>1.6929287736092276</v>
      </c>
      <c r="J40" s="46">
        <f t="shared" si="11"/>
        <v>1.6917025726890942</v>
      </c>
      <c r="K40" s="46">
        <f t="shared" si="11"/>
        <v>1.6904325427688742</v>
      </c>
      <c r="L40" s="46">
        <f t="shared" si="11"/>
        <v>1.6891165539012511</v>
      </c>
      <c r="M40" s="46">
        <f t="shared" si="11"/>
        <v>1.6877523378438111</v>
      </c>
      <c r="N40" s="46">
        <f t="shared" si="11"/>
        <v>1.6863374766338945</v>
      </c>
      <c r="O40" s="46">
        <f t="shared" si="11"/>
        <v>1.6848693900111213</v>
      </c>
      <c r="P40" s="46">
        <f t="shared" si="11"/>
        <v>1.6833453215496519</v>
      </c>
    </row>
    <row r="41" spans="1:16" ht="15" customHeight="1" x14ac:dyDescent="0.2">
      <c r="A41" s="47" t="s">
        <v>198</v>
      </c>
      <c r="B41" s="48">
        <f>MIN(B40:P40)</f>
        <v>1.6833453215496519</v>
      </c>
      <c r="D41" s="49">
        <f>COUNTIF(B40:P40,"&lt;"&amp;Assumptions!$B$33)</f>
        <v>0</v>
      </c>
      <c r="F41" s="49">
        <f>COUNTIF(B40:P40,"&lt;"&amp;Assumptions!$B$34)</f>
        <v>0</v>
      </c>
      <c r="H41" s="49">
        <f>COUNTIF(B40:P40,"&lt;"&amp;Assumptions!$B$35)</f>
        <v>0</v>
      </c>
    </row>
    <row r="43" spans="1:16" ht="15" customHeight="1" x14ac:dyDescent="0.2">
      <c r="A43" s="38" t="s">
        <v>201</v>
      </c>
      <c r="B43" s="38"/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</row>
    <row r="44" spans="1:16" ht="15" customHeight="1" x14ac:dyDescent="0.2">
      <c r="A44" s="24" t="s">
        <v>124</v>
      </c>
      <c r="B44" s="25">
        <f>Assumptions!$B$6*Assumptions!$B$10*8760*(1-Assumptions!$B$8)^(B$4-1)</f>
        <v>2871647.6715471819</v>
      </c>
      <c r="C44" s="25">
        <f>Assumptions!$B$6*Assumptions!$B$10*8760*(1-Assumptions!$B$8)^(C$4-1)</f>
        <v>2871647.6715471819</v>
      </c>
      <c r="D44" s="25">
        <f>Assumptions!$B$6*Assumptions!$B$10*8760*(1-Assumptions!$B$8)^(D$4-1)</f>
        <v>2871647.6715471819</v>
      </c>
      <c r="E44" s="25">
        <f>Assumptions!$B$6*Assumptions!$B$10*8760*(1-Assumptions!$B$8)^(E$4-1)</f>
        <v>2871647.6715471819</v>
      </c>
      <c r="F44" s="25">
        <f>Assumptions!$B$6*Assumptions!$B$10*8760*(1-Assumptions!$B$8)^(F$4-1)</f>
        <v>2871647.6715471819</v>
      </c>
      <c r="G44" s="25">
        <f>Assumptions!$B$6*Assumptions!$B$10*8760*(1-Assumptions!$B$8)^(G$4-1)</f>
        <v>2871647.6715471819</v>
      </c>
      <c r="H44" s="25">
        <f>Assumptions!$B$6*Assumptions!$B$10*8760*(1-Assumptions!$B$8)^(H$4-1)</f>
        <v>2871647.6715471819</v>
      </c>
      <c r="I44" s="25">
        <f>Assumptions!$B$6*Assumptions!$B$10*8760*(1-Assumptions!$B$8)^(I$4-1)</f>
        <v>2871647.6715471819</v>
      </c>
      <c r="J44" s="25">
        <f>Assumptions!$B$6*Assumptions!$B$10*8760*(1-Assumptions!$B$8)^(J$4-1)</f>
        <v>2871647.6715471819</v>
      </c>
      <c r="K44" s="25">
        <f>Assumptions!$B$6*Assumptions!$B$10*8760*(1-Assumptions!$B$8)^(K$4-1)</f>
        <v>2871647.6715471819</v>
      </c>
      <c r="L44" s="25">
        <f>Assumptions!$B$6*Assumptions!$B$10*8760*(1-Assumptions!$B$8)^(L$4-1)</f>
        <v>2871647.6715471819</v>
      </c>
      <c r="M44" s="25">
        <f>Assumptions!$B$6*Assumptions!$B$10*8760*(1-Assumptions!$B$8)^(M$4-1)</f>
        <v>2871647.6715471819</v>
      </c>
      <c r="N44" s="25">
        <f>Assumptions!$B$6*Assumptions!$B$10*8760*(1-Assumptions!$B$8)^(N$4-1)</f>
        <v>2871647.6715471819</v>
      </c>
      <c r="O44" s="25">
        <f>Assumptions!$B$6*Assumptions!$B$10*8760*(1-Assumptions!$B$8)^(O$4-1)</f>
        <v>2871647.6715471819</v>
      </c>
      <c r="P44" s="25">
        <f>Assumptions!$B$6*Assumptions!$B$10*8760*(1-Assumptions!$B$8)^(P$4-1)</f>
        <v>2871647.6715471819</v>
      </c>
    </row>
    <row r="45" spans="1:16" ht="15" customHeight="1" x14ac:dyDescent="0.2">
      <c r="A45" s="24" t="s">
        <v>152</v>
      </c>
      <c r="B45" s="43">
        <f>Assumptions!$B$24*(1+Assumptions!$B$25)</f>
        <v>24</v>
      </c>
      <c r="C45" s="43">
        <f>Assumptions!$B$24*(1+Assumptions!$B$25)</f>
        <v>24</v>
      </c>
      <c r="D45" s="43">
        <f>Assumptions!$B$24*(1+Assumptions!$B$25)</f>
        <v>24</v>
      </c>
      <c r="E45" s="43">
        <f>Assumptions!$B$24*(1+Assumptions!$B$25)</f>
        <v>24</v>
      </c>
      <c r="F45" s="43">
        <f>Assumptions!$B$24*(1+Assumptions!$B$25)</f>
        <v>24</v>
      </c>
      <c r="G45" s="43">
        <f>Assumptions!$B$24*(1+Assumptions!$B$25)</f>
        <v>24</v>
      </c>
      <c r="H45" s="43">
        <f>Assumptions!$B$24*(1+Assumptions!$B$25)</f>
        <v>24</v>
      </c>
      <c r="I45" s="43">
        <f>Assumptions!$B$24*(1+Assumptions!$B$25)</f>
        <v>24</v>
      </c>
      <c r="J45" s="43">
        <f>Assumptions!$B$24*(1+Assumptions!$B$25)</f>
        <v>24</v>
      </c>
      <c r="K45" s="43">
        <f>Assumptions!$B$24*(1+Assumptions!$B$25)</f>
        <v>24</v>
      </c>
      <c r="L45" s="43">
        <f>Assumptions!$B$24*(1+Assumptions!$B$25)</f>
        <v>24</v>
      </c>
      <c r="M45" s="43">
        <f>Assumptions!$B$24*(1+Assumptions!$B$25)</f>
        <v>24</v>
      </c>
      <c r="N45" s="43">
        <f>Assumptions!$B$24*(1+Assumptions!$B$25)</f>
        <v>24</v>
      </c>
      <c r="O45" s="43">
        <f>Assumptions!$B$24*(1+Assumptions!$B$25)</f>
        <v>24</v>
      </c>
      <c r="P45" s="43">
        <f>Assumptions!$B$24*(1+Assumptions!$B$25)</f>
        <v>24</v>
      </c>
    </row>
    <row r="46" spans="1:16" ht="15" customHeight="1" x14ac:dyDescent="0.2">
      <c r="A46" s="24" t="s">
        <v>193</v>
      </c>
      <c r="B46" s="43">
        <f>B$45+MAX(0,Assumptions!$B$21-MAX(B$45,Assumptions!$B$22))</f>
        <v>67.7</v>
      </c>
      <c r="C46" s="43">
        <f>C$45+MAX(0,Assumptions!$B$21-MAX(C$45,Assumptions!$B$22))</f>
        <v>67.7</v>
      </c>
      <c r="D46" s="43">
        <f>D$45+MAX(0,Assumptions!$B$21-MAX(D$45,Assumptions!$B$22))</f>
        <v>67.7</v>
      </c>
      <c r="E46" s="43">
        <f>E$45+MAX(0,Assumptions!$B$21-MAX(E$45,Assumptions!$B$22))</f>
        <v>67.7</v>
      </c>
      <c r="F46" s="43">
        <f>F$45+MAX(0,Assumptions!$B$21-MAX(F$45,Assumptions!$B$22))</f>
        <v>67.7</v>
      </c>
      <c r="G46" s="43">
        <f>G$45+MAX(0,Assumptions!$B$21-MAX(G$45,Assumptions!$B$22))</f>
        <v>67.7</v>
      </c>
      <c r="H46" s="43">
        <f>H$45+MAX(0,Assumptions!$B$21-MAX(H$45,Assumptions!$B$22))</f>
        <v>67.7</v>
      </c>
      <c r="I46" s="43">
        <f>I$45+MAX(0,Assumptions!$B$21-MAX(I$45,Assumptions!$B$22))</f>
        <v>67.7</v>
      </c>
      <c r="J46" s="43">
        <f>J$45+MAX(0,Assumptions!$B$21-MAX(J$45,Assumptions!$B$22))</f>
        <v>67.7</v>
      </c>
      <c r="K46" s="43">
        <f>K$45+MAX(0,Assumptions!$B$21-MAX(K$45,Assumptions!$B$22))</f>
        <v>67.7</v>
      </c>
      <c r="L46" s="43">
        <f>L$45+MAX(0,Assumptions!$B$21-MAX(L$45,Assumptions!$B$22))</f>
        <v>67.7</v>
      </c>
      <c r="M46" s="43">
        <f>M$45+MAX(0,Assumptions!$B$21-MAX(M$45,Assumptions!$B$22))</f>
        <v>67.7</v>
      </c>
      <c r="N46" s="43">
        <f>N$45+MAX(0,Assumptions!$B$21-MAX(N$45,Assumptions!$B$22))</f>
        <v>67.7</v>
      </c>
      <c r="O46" s="43">
        <f>O$45+MAX(0,Assumptions!$B$21-MAX(O$45,Assumptions!$B$22))</f>
        <v>67.7</v>
      </c>
      <c r="P46" s="43">
        <f>P$45+MAX(0,Assumptions!$B$21-MAX(P$45,Assumptions!$B$22))</f>
        <v>67.7</v>
      </c>
    </row>
    <row r="47" spans="1:16" ht="15" customHeight="1" x14ac:dyDescent="0.2">
      <c r="A47" s="24" t="s">
        <v>194</v>
      </c>
      <c r="B47" s="25">
        <f t="shared" ref="B47:P47" si="12">B$44*B$46</f>
        <v>194410547.36374423</v>
      </c>
      <c r="C47" s="25">
        <f t="shared" si="12"/>
        <v>194410547.36374423</v>
      </c>
      <c r="D47" s="25">
        <f t="shared" si="12"/>
        <v>194410547.36374423</v>
      </c>
      <c r="E47" s="25">
        <f t="shared" si="12"/>
        <v>194410547.36374423</v>
      </c>
      <c r="F47" s="25">
        <f t="shared" si="12"/>
        <v>194410547.36374423</v>
      </c>
      <c r="G47" s="25">
        <f t="shared" si="12"/>
        <v>194410547.36374423</v>
      </c>
      <c r="H47" s="25">
        <f t="shared" si="12"/>
        <v>194410547.36374423</v>
      </c>
      <c r="I47" s="25">
        <f t="shared" si="12"/>
        <v>194410547.36374423</v>
      </c>
      <c r="J47" s="25">
        <f t="shared" si="12"/>
        <v>194410547.36374423</v>
      </c>
      <c r="K47" s="25">
        <f t="shared" si="12"/>
        <v>194410547.36374423</v>
      </c>
      <c r="L47" s="25">
        <f t="shared" si="12"/>
        <v>194410547.36374423</v>
      </c>
      <c r="M47" s="25">
        <f t="shared" si="12"/>
        <v>194410547.36374423</v>
      </c>
      <c r="N47" s="25">
        <f t="shared" si="12"/>
        <v>194410547.36374423</v>
      </c>
      <c r="O47" s="25">
        <f t="shared" si="12"/>
        <v>194410547.36374423</v>
      </c>
      <c r="P47" s="25">
        <f t="shared" si="12"/>
        <v>194410547.36374423</v>
      </c>
    </row>
    <row r="48" spans="1:16" ht="15" customHeight="1" x14ac:dyDescent="0.2">
      <c r="A48" s="24" t="s">
        <v>126</v>
      </c>
      <c r="B48" s="25">
        <f>(Assumptions!$B$17*(1+Assumptions!$B$19)^(B$4-1)*B$44)+(Assumptions!$B$18*(1+Assumptions!$B$19)^(B$4-1)*Assumptions!$B$6)</f>
        <v>57882301.170137472</v>
      </c>
      <c r="C48" s="25">
        <f>(Assumptions!$B$17*(1+Assumptions!$B$19)^(C$4-1)*C$44)+(Assumptions!$B$18*(1+Assumptions!$B$19)^(C$4-1)*Assumptions!$B$6)</f>
        <v>59039947.19354023</v>
      </c>
      <c r="D48" s="25">
        <f>(Assumptions!$B$17*(1+Assumptions!$B$19)^(D$4-1)*D$44)+(Assumptions!$B$18*(1+Assumptions!$B$19)^(D$4-1)*Assumptions!$B$6)</f>
        <v>60220746.137411028</v>
      </c>
      <c r="E48" s="25">
        <f>(Assumptions!$B$17*(1+Assumptions!$B$19)^(E$4-1)*E$44)+(Assumptions!$B$18*(1+Assumptions!$B$19)^(E$4-1)*Assumptions!$B$6)</f>
        <v>61425161.060159244</v>
      </c>
      <c r="F48" s="25">
        <f>(Assumptions!$B$17*(1+Assumptions!$B$19)^(F$4-1)*F$44)+(Assumptions!$B$18*(1+Assumptions!$B$19)^(F$4-1)*Assumptions!$B$6)</f>
        <v>62653664.281362429</v>
      </c>
      <c r="G48" s="25">
        <f>(Assumptions!$B$17*(1+Assumptions!$B$19)^(G$4-1)*G$44)+(Assumptions!$B$18*(1+Assumptions!$B$19)^(G$4-1)*Assumptions!$B$6)</f>
        <v>63906737.566989683</v>
      </c>
      <c r="H48" s="25">
        <f>(Assumptions!$B$17*(1+Assumptions!$B$19)^(H$4-1)*H$44)+(Assumptions!$B$18*(1+Assumptions!$B$19)^(H$4-1)*Assumptions!$B$6)</f>
        <v>65184872.318329476</v>
      </c>
      <c r="I48" s="25">
        <f>(Assumptions!$B$17*(1+Assumptions!$B$19)^(I$4-1)*I$44)+(Assumptions!$B$18*(1+Assumptions!$B$19)^(I$4-1)*Assumptions!$B$6)</f>
        <v>66488569.764696054</v>
      </c>
      <c r="J48" s="25">
        <f>(Assumptions!$B$17*(1+Assumptions!$B$19)^(J$4-1)*J$44)+(Assumptions!$B$18*(1+Assumptions!$B$19)^(J$4-1)*Assumptions!$B$6)</f>
        <v>67818341.159989983</v>
      </c>
      <c r="K48" s="25">
        <f>(Assumptions!$B$17*(1+Assumptions!$B$19)^(K$4-1)*K$44)+(Assumptions!$B$18*(1+Assumptions!$B$19)^(K$4-1)*Assumptions!$B$6)</f>
        <v>69174707.983189791</v>
      </c>
      <c r="L48" s="25">
        <f>(Assumptions!$B$17*(1+Assumptions!$B$19)^(L$4-1)*L$44)+(Assumptions!$B$18*(1+Assumptions!$B$19)^(L$4-1)*Assumptions!$B$6)</f>
        <v>70558202.142853573</v>
      </c>
      <c r="M48" s="25">
        <f>(Assumptions!$B$17*(1+Assumptions!$B$19)^(M$4-1)*M$44)+(Assumptions!$B$18*(1+Assumptions!$B$19)^(M$4-1)*Assumptions!$B$6)</f>
        <v>71969366.185710639</v>
      </c>
      <c r="N48" s="25">
        <f>(Assumptions!$B$17*(1+Assumptions!$B$19)^(N$4-1)*N$44)+(Assumptions!$B$18*(1+Assumptions!$B$19)^(N$4-1)*Assumptions!$B$6)</f>
        <v>73408753.509424865</v>
      </c>
      <c r="O48" s="25">
        <f>(Assumptions!$B$17*(1+Assumptions!$B$19)^(O$4-1)*O$44)+(Assumptions!$B$18*(1+Assumptions!$B$19)^(O$4-1)*Assumptions!$B$6)</f>
        <v>74876928.579613358</v>
      </c>
      <c r="P48" s="25">
        <f>(Assumptions!$B$17*(1+Assumptions!$B$19)^(P$4-1)*P$44)+(Assumptions!$B$18*(1+Assumptions!$B$19)^(P$4-1)*Assumptions!$B$6)</f>
        <v>76374467.151205629</v>
      </c>
    </row>
    <row r="49" spans="1:16" ht="15" customHeight="1" x14ac:dyDescent="0.2">
      <c r="A49" s="24" t="s">
        <v>127</v>
      </c>
      <c r="B49" s="25">
        <f t="shared" ref="B49:P49" si="13">B$47-B$48</f>
        <v>136528246.19360676</v>
      </c>
      <c r="C49" s="25">
        <f t="shared" si="13"/>
        <v>135370600.17020398</v>
      </c>
      <c r="D49" s="25">
        <f t="shared" si="13"/>
        <v>134189801.2263332</v>
      </c>
      <c r="E49" s="25">
        <f t="shared" si="13"/>
        <v>132985386.30358499</v>
      </c>
      <c r="F49" s="25">
        <f t="shared" si="13"/>
        <v>131756883.0823818</v>
      </c>
      <c r="G49" s="25">
        <f t="shared" si="13"/>
        <v>130503809.79675454</v>
      </c>
      <c r="H49" s="25">
        <f t="shared" si="13"/>
        <v>129225675.04541475</v>
      </c>
      <c r="I49" s="25">
        <f t="shared" si="13"/>
        <v>127921977.59904817</v>
      </c>
      <c r="J49" s="25">
        <f t="shared" si="13"/>
        <v>126592206.20375425</v>
      </c>
      <c r="K49" s="25">
        <f t="shared" si="13"/>
        <v>125235839.38055444</v>
      </c>
      <c r="L49" s="25">
        <f t="shared" si="13"/>
        <v>123852345.22089066</v>
      </c>
      <c r="M49" s="25">
        <f t="shared" si="13"/>
        <v>122441181.17803359</v>
      </c>
      <c r="N49" s="25">
        <f t="shared" si="13"/>
        <v>121001793.85431936</v>
      </c>
      <c r="O49" s="25">
        <f t="shared" si="13"/>
        <v>119533618.78413087</v>
      </c>
      <c r="P49" s="25">
        <f t="shared" si="13"/>
        <v>118036080.2125386</v>
      </c>
    </row>
    <row r="50" spans="1:16" ht="15" customHeight="1" x14ac:dyDescent="0.2">
      <c r="A50" s="24" t="s">
        <v>195</v>
      </c>
      <c r="B50" s="25">
        <f>-MAX(0,(B$49-Assumptions!$B$13/Assumptions!$B$59)*Assumptions!$B$42)</f>
        <v>-19837167.517950546</v>
      </c>
      <c r="C50" s="25">
        <f>-MAX(0,(C$49-Assumptions!$B$13/Assumptions!$B$59)*Assumptions!$B$42)</f>
        <v>-19538494.843912628</v>
      </c>
      <c r="D50" s="25">
        <f>-MAX(0,(D$49-Assumptions!$B$13/Assumptions!$B$59)*Assumptions!$B$42)</f>
        <v>-19233848.716393966</v>
      </c>
      <c r="E50" s="25">
        <f>-MAX(0,(E$49-Assumptions!$B$13/Assumptions!$B$59)*Assumptions!$B$42)</f>
        <v>-18923109.666324928</v>
      </c>
      <c r="F50" s="25">
        <f>-MAX(0,(F$49-Assumptions!$B$13/Assumptions!$B$59)*Assumptions!$B$42)</f>
        <v>-18606155.835254505</v>
      </c>
      <c r="G50" s="25">
        <f>-MAX(0,(G$49-Assumptions!$B$13/Assumptions!$B$59)*Assumptions!$B$42)</f>
        <v>-18282862.927562673</v>
      </c>
      <c r="H50" s="25">
        <f>-MAX(0,(H$49-Assumptions!$B$13/Assumptions!$B$59)*Assumptions!$B$42)</f>
        <v>-17953104.161717005</v>
      </c>
      <c r="I50" s="25">
        <f>-MAX(0,(I$49-Assumptions!$B$13/Assumptions!$B$59)*Assumptions!$B$42)</f>
        <v>-17616750.220554426</v>
      </c>
      <c r="J50" s="25">
        <f>-MAX(0,(J$49-Assumptions!$B$13/Assumptions!$B$59)*Assumptions!$B$42)</f>
        <v>-17273669.200568598</v>
      </c>
      <c r="K50" s="25">
        <f>-MAX(0,(K$49-Assumptions!$B$13/Assumptions!$B$59)*Assumptions!$B$42)</f>
        <v>-16923726.560183045</v>
      </c>
      <c r="L50" s="25">
        <f>-MAX(0,(L$49-Assumptions!$B$13/Assumptions!$B$59)*Assumptions!$B$42)</f>
        <v>-16566785.066989791</v>
      </c>
      <c r="M50" s="25">
        <f>-MAX(0,(M$49-Assumptions!$B$13/Assumptions!$B$59)*Assumptions!$B$42)</f>
        <v>-16202704.743932666</v>
      </c>
      <c r="N50" s="25">
        <f>-MAX(0,(N$49-Assumptions!$B$13/Assumptions!$B$59)*Assumptions!$B$42)</f>
        <v>-15831342.814414397</v>
      </c>
      <c r="O50" s="25">
        <f>-MAX(0,(O$49-Assumptions!$B$13/Assumptions!$B$59)*Assumptions!$B$42)</f>
        <v>-15452553.646305766</v>
      </c>
      <c r="P50" s="25">
        <f>-MAX(0,(P$49-Assumptions!$B$13/Assumptions!$B$59)*Assumptions!$B$42)</f>
        <v>-15066188.694834959</v>
      </c>
    </row>
    <row r="51" spans="1:16" ht="15" customHeight="1" x14ac:dyDescent="0.2">
      <c r="A51" s="22" t="s">
        <v>196</v>
      </c>
      <c r="B51" s="26">
        <f t="shared" ref="B51:P51" si="14">B$49+B$50</f>
        <v>116691078.67565621</v>
      </c>
      <c r="C51" s="26">
        <f t="shared" si="14"/>
        <v>115832105.32629135</v>
      </c>
      <c r="D51" s="26">
        <f t="shared" si="14"/>
        <v>114955952.50993924</v>
      </c>
      <c r="E51" s="26">
        <f t="shared" si="14"/>
        <v>114062276.63726006</v>
      </c>
      <c r="F51" s="26">
        <f t="shared" si="14"/>
        <v>113150727.24712729</v>
      </c>
      <c r="G51" s="26">
        <f t="shared" si="14"/>
        <v>112220946.86919187</v>
      </c>
      <c r="H51" s="26">
        <f t="shared" si="14"/>
        <v>111272570.88369775</v>
      </c>
      <c r="I51" s="26">
        <f t="shared" si="14"/>
        <v>110305227.37849374</v>
      </c>
      <c r="J51" s="26">
        <f t="shared" si="14"/>
        <v>109318537.00318564</v>
      </c>
      <c r="K51" s="26">
        <f t="shared" si="14"/>
        <v>108312112.82037139</v>
      </c>
      <c r="L51" s="26">
        <f t="shared" si="14"/>
        <v>107285560.15390086</v>
      </c>
      <c r="M51" s="26">
        <f t="shared" si="14"/>
        <v>106238476.43410093</v>
      </c>
      <c r="N51" s="26">
        <f t="shared" si="14"/>
        <v>105170451.03990497</v>
      </c>
      <c r="O51" s="26">
        <f t="shared" si="14"/>
        <v>104081065.1378251</v>
      </c>
      <c r="P51" s="26">
        <f t="shared" si="14"/>
        <v>102969891.51770364</v>
      </c>
    </row>
    <row r="52" spans="1:16" ht="15" customHeight="1" x14ac:dyDescent="0.2">
      <c r="A52" s="22" t="s">
        <v>197</v>
      </c>
      <c r="B52" s="46">
        <f t="shared" ref="B52:P52" si="15">B$51/B$5</f>
        <v>1.4710045114979864</v>
      </c>
      <c r="C52" s="46">
        <f t="shared" si="15"/>
        <v>1.4693549440832046</v>
      </c>
      <c r="D52" s="46">
        <f t="shared" si="15"/>
        <v>1.4676508828896138</v>
      </c>
      <c r="E52" s="46">
        <f t="shared" si="15"/>
        <v>1.4658899333298174</v>
      </c>
      <c r="F52" s="46">
        <f t="shared" si="15"/>
        <v>1.4640695612990486</v>
      </c>
      <c r="G52" s="46">
        <f t="shared" si="15"/>
        <v>1.4621870828485404</v>
      </c>
      <c r="H52" s="46">
        <f t="shared" si="15"/>
        <v>1.460239652927007</v>
      </c>
      <c r="I52" s="46">
        <f t="shared" si="15"/>
        <v>1.4582242530906333</v>
      </c>
      <c r="J52" s="46">
        <f t="shared" si="15"/>
        <v>1.4561376780696011</v>
      </c>
      <c r="K52" s="46">
        <f t="shared" si="15"/>
        <v>1.4539765210650808</v>
      </c>
      <c r="L52" s="46">
        <f t="shared" si="15"/>
        <v>1.451737157634462</v>
      </c>
      <c r="M52" s="46">
        <f t="shared" si="15"/>
        <v>1.4494157280041235</v>
      </c>
      <c r="N52" s="46">
        <f t="shared" si="15"/>
        <v>1.4470081176277438</v>
      </c>
      <c r="O52" s="46">
        <f t="shared" si="15"/>
        <v>1.4445099357837303</v>
      </c>
      <c r="P52" s="46">
        <f t="shared" si="15"/>
        <v>1.4419164919770664</v>
      </c>
    </row>
    <row r="53" spans="1:16" ht="15" customHeight="1" x14ac:dyDescent="0.2">
      <c r="A53" s="47" t="s">
        <v>198</v>
      </c>
      <c r="B53" s="48">
        <f>MIN(B52:P52)</f>
        <v>1.4419164919770664</v>
      </c>
      <c r="D53" s="49">
        <f>COUNTIF(B52:P52,"&lt;"&amp;Assumptions!$B$33)</f>
        <v>0</v>
      </c>
      <c r="F53" s="49">
        <f>COUNTIF(B52:P52,"&lt;"&amp;Assumptions!$B$34)</f>
        <v>0</v>
      </c>
      <c r="H53" s="49">
        <f>COUNTIF(B52:P52,"&lt;"&amp;Assumptions!$B$35)</f>
        <v>0</v>
      </c>
    </row>
    <row r="55" spans="1:16" ht="15" customHeight="1" x14ac:dyDescent="0.2">
      <c r="A55" s="38" t="s">
        <v>202</v>
      </c>
      <c r="B55" s="38"/>
      <c r="C55" s="38"/>
    </row>
    <row r="56" spans="1:16" ht="15" customHeight="1" x14ac:dyDescent="0.2">
      <c r="A56" s="24" t="s">
        <v>203</v>
      </c>
      <c r="B56" s="25">
        <f>Assumptions!$B$13*Assumptions!$B$15</f>
        <v>298200000</v>
      </c>
    </row>
    <row r="57" spans="1:16" ht="15" customHeight="1" x14ac:dyDescent="0.2">
      <c r="A57" s="24" t="s">
        <v>204</v>
      </c>
      <c r="B57" s="44" t="s">
        <v>257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28"/>
  <sheetViews>
    <sheetView showGridLines="0" zoomScale="164" zoomScaleNormal="100" workbookViewId="0"/>
  </sheetViews>
  <sheetFormatPr baseColWidth="10" defaultColWidth="8.6640625" defaultRowHeight="15" x14ac:dyDescent="0.2"/>
  <cols>
    <col min="1" max="1" width="34" customWidth="1"/>
    <col min="2" max="2" width="28.83203125" bestFit="1" customWidth="1"/>
    <col min="3" max="3" width="23" bestFit="1" customWidth="1"/>
    <col min="4" max="4" width="42" customWidth="1"/>
  </cols>
  <sheetData>
    <row r="1" spans="1:4" ht="19" x14ac:dyDescent="0.2">
      <c r="A1" s="5" t="s">
        <v>258</v>
      </c>
    </row>
    <row r="2" spans="1:4" x14ac:dyDescent="0.2">
      <c r="A2" s="50"/>
    </row>
    <row r="4" spans="1:4" x14ac:dyDescent="0.2">
      <c r="A4" s="8" t="s">
        <v>205</v>
      </c>
      <c r="B4" s="8"/>
      <c r="C4" s="8"/>
      <c r="D4" s="8"/>
    </row>
    <row r="5" spans="1:4" x14ac:dyDescent="0.2">
      <c r="A5" s="7" t="s">
        <v>117</v>
      </c>
      <c r="B5" s="7" t="s">
        <v>13</v>
      </c>
      <c r="C5" s="7"/>
      <c r="D5" s="7" t="s">
        <v>118</v>
      </c>
    </row>
    <row r="6" spans="1:4" x14ac:dyDescent="0.2">
      <c r="A6" s="9" t="s">
        <v>206</v>
      </c>
      <c r="B6" s="51">
        <f>'Debt Sizing'!$B$23/1000000</f>
        <v>919.85740580435822</v>
      </c>
      <c r="D6" s="12" t="s">
        <v>207</v>
      </c>
    </row>
    <row r="7" spans="1:4" x14ac:dyDescent="0.2">
      <c r="A7" s="9" t="s">
        <v>142</v>
      </c>
      <c r="B7" s="52" t="str">
        <f>'Debt Sizing'!$B$26</f>
        <v>LLCR</v>
      </c>
      <c r="D7" s="12" t="s">
        <v>208</v>
      </c>
    </row>
    <row r="8" spans="1:4" x14ac:dyDescent="0.2">
      <c r="A8" s="9" t="s">
        <v>209</v>
      </c>
      <c r="B8" s="53">
        <f>'Debt Sizing'!$B$23/Assumptions!$B$13</f>
        <v>0.61693990999621617</v>
      </c>
      <c r="D8" s="12" t="s">
        <v>210</v>
      </c>
    </row>
    <row r="9" spans="1:4" x14ac:dyDescent="0.2">
      <c r="A9" s="9" t="s">
        <v>211</v>
      </c>
      <c r="B9" s="54">
        <f>'Debt Sizing'!$B$25</f>
        <v>1.8546537736808018</v>
      </c>
      <c r="D9" s="12" t="s">
        <v>212</v>
      </c>
    </row>
    <row r="10" spans="1:4" x14ac:dyDescent="0.2">
      <c r="A10" s="9" t="s">
        <v>213</v>
      </c>
      <c r="B10" s="54">
        <f>'Debt Sizing'!$B$31</f>
        <v>1.4</v>
      </c>
      <c r="D10" s="12" t="s">
        <v>214</v>
      </c>
    </row>
    <row r="12" spans="1:4" x14ac:dyDescent="0.2">
      <c r="A12" s="8" t="s">
        <v>215</v>
      </c>
      <c r="B12" s="8"/>
      <c r="C12" s="8"/>
      <c r="D12" s="8"/>
    </row>
    <row r="13" spans="1:4" x14ac:dyDescent="0.2">
      <c r="A13" s="7" t="s">
        <v>216</v>
      </c>
      <c r="B13" s="7" t="s">
        <v>217</v>
      </c>
      <c r="C13" s="7" t="s">
        <v>218</v>
      </c>
      <c r="D13" s="7" t="s">
        <v>118</v>
      </c>
    </row>
    <row r="14" spans="1:4" x14ac:dyDescent="0.2">
      <c r="A14" s="9" t="s">
        <v>219</v>
      </c>
      <c r="B14" s="33">
        <f>'Stress Tests'!$B$17</f>
        <v>1.854463329037209</v>
      </c>
      <c r="C14" s="55" t="str">
        <f>IF('Stress Tests'!$B$17&gt;=Assumptions!$B$35,"Clears","BREACH")</f>
        <v>Clears</v>
      </c>
      <c r="D14" s="12" t="s">
        <v>220</v>
      </c>
    </row>
    <row r="15" spans="1:4" x14ac:dyDescent="0.2">
      <c r="A15" s="9" t="s">
        <v>221</v>
      </c>
      <c r="B15" s="33">
        <f>'Stress Tests'!$B$29</f>
        <v>1.5911048444257685</v>
      </c>
      <c r="C15" s="55" t="str">
        <f>IF('Stress Tests'!$B$29&gt;=Assumptions!$B$35,"Clears","BREACH")</f>
        <v>Clears</v>
      </c>
      <c r="D15" s="12" t="s">
        <v>222</v>
      </c>
    </row>
    <row r="16" spans="1:4" x14ac:dyDescent="0.2">
      <c r="A16" s="9" t="s">
        <v>223</v>
      </c>
      <c r="B16" s="33">
        <f>'Stress Tests'!$B$41</f>
        <v>1.6833453215496519</v>
      </c>
      <c r="C16" s="55" t="str">
        <f>IF('Stress Tests'!$B$41&gt;=Assumptions!$B$35,"Clears","BREACH")</f>
        <v>Clears</v>
      </c>
      <c r="D16" s="12" t="s">
        <v>224</v>
      </c>
    </row>
    <row r="17" spans="1:4" x14ac:dyDescent="0.2">
      <c r="A17" s="9" t="s">
        <v>225</v>
      </c>
      <c r="B17" s="33">
        <f>'Stress Tests'!$B$53</f>
        <v>1.4419164919770664</v>
      </c>
      <c r="C17" s="55" t="str">
        <f>IF('Stress Tests'!$B$53&gt;=Assumptions!$B$35,"Clears","BREACH")</f>
        <v>Clears</v>
      </c>
      <c r="D17" s="12" t="s">
        <v>226</v>
      </c>
    </row>
    <row r="19" spans="1:4" x14ac:dyDescent="0.2">
      <c r="A19" s="8" t="s">
        <v>227</v>
      </c>
      <c r="B19" s="8"/>
      <c r="C19" s="8"/>
      <c r="D19" s="8"/>
    </row>
    <row r="20" spans="1:4" x14ac:dyDescent="0.2">
      <c r="A20" s="7" t="s">
        <v>117</v>
      </c>
      <c r="B20" s="7" t="s">
        <v>228</v>
      </c>
      <c r="C20" s="7" t="s">
        <v>229</v>
      </c>
      <c r="D20" s="7" t="s">
        <v>118</v>
      </c>
    </row>
    <row r="21" spans="1:4" x14ac:dyDescent="0.2">
      <c r="A21" s="9" t="s">
        <v>230</v>
      </c>
      <c r="B21" s="57">
        <v>600</v>
      </c>
      <c r="C21" s="58">
        <v>752</v>
      </c>
      <c r="D21" s="12" t="s">
        <v>231</v>
      </c>
    </row>
    <row r="22" spans="1:4" x14ac:dyDescent="0.2">
      <c r="A22" s="9" t="s">
        <v>232</v>
      </c>
      <c r="B22" s="32" t="s">
        <v>233</v>
      </c>
      <c r="C22" s="55" t="s">
        <v>234</v>
      </c>
      <c r="D22" s="12" t="s">
        <v>235</v>
      </c>
    </row>
    <row r="23" spans="1:4" x14ac:dyDescent="0.2">
      <c r="A23" s="9" t="s">
        <v>236</v>
      </c>
      <c r="B23" s="57">
        <v>2.8</v>
      </c>
      <c r="C23" s="58">
        <v>1.4910000000000001</v>
      </c>
      <c r="D23" s="12" t="s">
        <v>237</v>
      </c>
    </row>
    <row r="24" spans="1:4" x14ac:dyDescent="0.2">
      <c r="A24" s="9" t="s">
        <v>238</v>
      </c>
      <c r="B24" s="57">
        <v>2.0990000000000002</v>
      </c>
      <c r="C24" s="55" t="s">
        <v>239</v>
      </c>
      <c r="D24" s="12" t="s">
        <v>240</v>
      </c>
    </row>
    <row r="25" spans="1:4" x14ac:dyDescent="0.2">
      <c r="A25" s="9" t="s">
        <v>241</v>
      </c>
      <c r="B25" s="32" t="s">
        <v>242</v>
      </c>
      <c r="C25" s="55" t="s">
        <v>243</v>
      </c>
      <c r="D25" s="12" t="s">
        <v>244</v>
      </c>
    </row>
    <row r="26" spans="1:4" x14ac:dyDescent="0.2">
      <c r="A26" s="9" t="s">
        <v>245</v>
      </c>
      <c r="B26" s="32" t="s">
        <v>246</v>
      </c>
      <c r="C26" s="55" t="s">
        <v>247</v>
      </c>
      <c r="D26" s="12" t="s">
        <v>248</v>
      </c>
    </row>
    <row r="28" spans="1:4" x14ac:dyDescent="0.2">
      <c r="A28" s="56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 Me</vt:lpstr>
      <vt:lpstr>Assumptions</vt:lpstr>
      <vt:lpstr>Debt Sizing</vt:lpstr>
      <vt:lpstr>Cash Flow &amp; Waterfall</vt:lpstr>
      <vt:lpstr>Stress Tests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Cornelissen, A.J. (Cas)</cp:lastModifiedBy>
  <cp:revision>0</cp:revision>
  <dcterms:created xsi:type="dcterms:W3CDTF">2026-08-28T09:36:23Z</dcterms:created>
  <dcterms:modified xsi:type="dcterms:W3CDTF">2026-10-22T15:35:06Z</dcterms:modified>
  <dc:language>en-US</dc:language>
</cp:coreProperties>
</file>